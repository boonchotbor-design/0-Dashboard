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4ADDE88D-16F4-42D2-AF91-056C81D965A5}" xr6:coauthVersionLast="47" xr6:coauthVersionMax="47" xr10:uidLastSave="{00000000-0000-0000-0000-000000000000}"/>
  <bookViews>
    <workbookView xWindow="-120" yWindow="-120" windowWidth="29040" windowHeight="15720" tabRatio="813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4" i="4"/>
  <c r="D20" i="4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4" i="2" l="1"/>
  <c r="D9" i="2" s="1"/>
  <c r="D3" i="2"/>
  <c r="D31" i="4"/>
  <c r="D30" i="4"/>
  <c r="D29" i="4"/>
  <c r="D28" i="4"/>
  <c r="D27" i="4"/>
  <c r="D2" i="4"/>
  <c r="D5" i="4" s="1"/>
  <c r="D8" i="3"/>
  <c r="D7" i="3"/>
  <c r="E8" i="3"/>
  <c r="D40" i="4"/>
  <c r="D26" i="4"/>
  <c r="D21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<sst xmlns="http://schemas.openxmlformats.org/spreadsheetml/2006/main" count="5261" uniqueCount="1392">
  <si>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</si>
  <si>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</si>
  <si>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</si>
  <si>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</si>
  <si>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</si>
  <si>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</si>
  <si>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</si>
  <si>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</si>
  <si>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</si>
  <si>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</si>
  <si>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</si>
  <si>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</si>
  <si>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</si>
  <si>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</si>
  <si>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</si>
  <si>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</si>
  <si>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</si>
  <si>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</si>
  <si>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</si>
  <si>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</si>
  <si>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</si>
  <si>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</si>
  <si>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</si>
  <si>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</si>
  <si>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</si>
  <si>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</si>
  <si>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</si>
  <si>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</si>
  <si>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</si>
  <si>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</si>
  <si>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</si>
  <si>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</si>
  <si>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</si>
  <si>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</si>
  <si>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</si>
  <si>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</si>
  <si>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</si>
  <si>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</si>
  <si>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</si>
  <si>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</si>
  <si>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</si>
  <si>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</si>
  <si>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</si>
  <si>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</si>
  <si>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</si>
  <si>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</si>
  <si>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</si>
  <si>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</si>
  <si>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</si>
  <si>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</si>
  <si>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</si>
  <si>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</si>
  <si>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</si>
  <si>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</si>
  <si>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</si>
  <si>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</si>
  <si>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</si>
  <si>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</si>
  <si>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</si>
  <si>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</si>
  <si>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</si>
  <si>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</si>
  <si>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</si>
  <si>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</si>
  <si>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</si>
  <si>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</si>
  <si>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</si>
  <si>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</si>
  <si>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</si>
  <si>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</si>
  <si>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</si>
  <si>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</si>
  <si>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</si>
  <si>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</si>
  <si>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</si>
  <si>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</si>
  <si>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</si>
  <si>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</si>
  <si>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</si>
  <si>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</si>
  <si>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</si>
  <si>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</si>
  <si>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</si>
  <si>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</si>
  <si>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</si>
  <si>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</si>
  <si>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</si>
  <si>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</si>
  <si>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</si>
  <si>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</si>
  <si>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</si>
  <si>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</si>
  <si>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</si>
  <si>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</si>
  <si>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</si>
  <si>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</si>
  <si>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</si>
  <si>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</si>
  <si>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</si>
  <si>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</si>
  <si>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</si>
  <si>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</si>
  <si>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</si>
  <si>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</si>
  <si>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</si>
  <si>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</si>
  <si>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</si>
  <si>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</si>
  <si>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</si>
  <si>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</si>
  <si>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</si>
  <si>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</si>
  <si>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</si>
  <si>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</si>
  <si>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</si>
  <si>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</si>
  <si>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</si>
  <si>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</si>
  <si>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</si>
  <si>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</si>
  <si>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</si>
  <si>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</si>
  <si>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</si>
  <si>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</si>
  <si>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</si>
  <si>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</si>
  <si>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</si>
  <si>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</si>
  <si>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</si>
  <si>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</si>
  <si>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</si>
  <si>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</si>
  <si>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</si>
  <si>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</si>
  <si>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</si>
  <si>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</si>
  <si>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</si>
  <si>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</si>
  <si>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</si>
  <si>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</si>
  <si>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</si>
  <si>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</si>
  <si>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</si>
  <si>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</si>
  <si>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</si>
  <si>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</si>
  <si>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</si>
  <si>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</si>
  <si>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</si>
  <si>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</si>
  <si>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</si>
  <si>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</si>
  <si>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</si>
  <si>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</si>
  <si>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</si>
  <si>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</si>
  <si>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</si>
  <si>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</si>
  <si>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</si>
  <si>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</si>
  <si>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</si>
  <si>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</si>
  <si>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</si>
  <si>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</si>
  <si>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</si>
  <si>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</si>
  <si>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</si>
  <si>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</si>
  <si>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</si>
  <si>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</si>
  <si>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</si>
  <si>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</si>
  <si>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</si>
  <si>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</si>
  <si>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</si>
  <si>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</si>
  <si>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</si>
  <si>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</si>
  <si>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</si>
  <si>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</si>
  <si>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</si>
  <si>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</si>
  <si>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</si>
  <si>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</si>
  <si>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</si>
  <si>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</si>
  <si>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</si>
  <si>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</si>
  <si>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</si>
  <si>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</si>
  <si>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</si>
  <si>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</si>
  <si>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</si>
  <si>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</si>
  <si>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</si>
  <si>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</si>
  <si>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</si>
  <si>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</si>
  <si>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</si>
  <si>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</si>
  <si>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</si>
  <si>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</si>
  <si>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</si>
  <si>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</si>
  <si>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</si>
  <si>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</si>
  <si>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</si>
  <si>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</si>
  <si>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</si>
  <si>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</si>
  <si>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</si>
  <si>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</si>
  <si>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</si>
  <si>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</si>
  <si>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</si>
  <si>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</si>
  <si>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</si>
  <si>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</si>
  <si>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</si>
  <si>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</si>
  <si>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</si>
  <si>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</si>
  <si>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</si>
  <si>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</si>
  <si>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</si>
  <si>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</si>
  <si>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</si>
  <si>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</si>
  <si>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</si>
  <si>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</si>
  <si>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</si>
  <si>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</si>
  <si>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</si>
  <si>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</si>
  <si>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</si>
  <si>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</si>
  <si>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</si>
  <si>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</si>
  <si>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</si>
  <si>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</si>
  <si>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</si>
  <si>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</si>
  <si>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</si>
  <si>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</si>
  <si>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</si>
  <si>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</si>
  <si>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</si>
  <si>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</si>
  <si>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</si>
  <si>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</si>
  <si>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</si>
  <si>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</si>
  <si>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</si>
  <si>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</si>
  <si>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</si>
  <si>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</si>
  <si>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</si>
  <si>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</si>
  <si>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</si>
  <si>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</si>
  <si>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</si>
  <si>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</si>
  <si>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</si>
  <si>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</si>
  <si>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</si>
  <si>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</si>
  <si>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</si>
  <si>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</si>
  <si>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</si>
  <si>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</si>
  <si>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</si>
  <si>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</si>
  <si>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</si>
  <si>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</si>
  <si>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</si>
  <si>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</si>
  <si>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</si>
  <si>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</si>
  <si>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</si>
  <si>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</si>
  <si>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</si>
  <si>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</si>
  <si>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</si>
  <si>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</si>
  <si>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</si>
  <si>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</si>
  <si>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</si>
  <si>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</si>
  <si>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</si>
  <si>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</si>
  <si>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</si>
  <si>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</si>
  <si>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</si>
  <si>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</si>
  <si>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</si>
  <si>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</si>
  <si>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</si>
  <si>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</si>
  <si>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</si>
  <si>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</si>
  <si>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</si>
  <si>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</si>
  <si>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</si>
  <si>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</si>
  <si>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</si>
  <si>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</si>
  <si>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</si>
  <si>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</si>
  <si>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</si>
  <si>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</si>
  <si>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</si>
  <si>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</si>
  <si>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</si>
  <si>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</si>
  <si>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</si>
  <si>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</si>
  <si>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</si>
  <si>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</si>
  <si>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</si>
  <si>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</si>
  <si>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</si>
  <si>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</si>
  <si>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</si>
  <si>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</si>
  <si>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</si>
  <si>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</si>
  <si>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</si>
  <si>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</si>
  <si>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</si>
  <si>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</si>
  <si>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</si>
  <si>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</si>
  <si>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</si>
  <si>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</si>
  <si>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</si>
  <si>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</si>
  <si>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</si>
  <si>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</si>
  <si>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</si>
  <si>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</si>
  <si>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</si>
  <si>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</si>
  <si>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</si>
  <si>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</si>
  <si>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</si>
  <si>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</si>
  <si>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</si>
  <si>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</si>
  <si>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</si>
  <si>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</si>
  <si>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</si>
  <si>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</si>
  <si>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</si>
  <si>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</si>
  <si>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</si>
  <si>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</si>
  <si>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</si>
  <si>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</si>
  <si>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</si>
  <si>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</si>
  <si>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</si>
  <si>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</si>
  <si>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</si>
  <si>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</si>
  <si>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</si>
  <si>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</si>
  <si>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</si>
  <si>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</si>
  <si>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</si>
  <si>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</si>
  <si>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</si>
  <si>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</si>
  <si>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</si>
  <si>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</si>
  <si>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</si>
  <si>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</si>
  <si>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</si>
  <si>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</si>
  <si>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</si>
  <si>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</si>
  <si>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</si>
  <si>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</si>
  <si>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</si>
  <si>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</si>
  <si>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</si>
  <si>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</si>
  <si>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</si>
  <si>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</si>
  <si>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</si>
  <si>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</si>
  <si>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</si>
  <si>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</si>
  <si>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</si>
  <si>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</si>
  <si>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</si>
  <si>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</si>
  <si>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</si>
  <si>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</si>
  <si>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</si>
  <si>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</si>
  <si>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</si>
  <si>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</si>
  <si>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</si>
  <si>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</si>
  <si>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</si>
  <si>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</si>
  <si>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</si>
  <si>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</si>
  <si>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</si>
  <si>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</si>
  <si>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</si>
  <si>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</si>
  <si>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</si>
  <si>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</si>
  <si>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</si>
  <si>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</si>
  <si>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</si>
  <si>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</si>
  <si>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</si>
  <si>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</si>
  <si>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</si>
  <si>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</si>
  <si>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</si>
  <si>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</si>
  <si>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</si>
  <si>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</si>
  <si>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</si>
  <si>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</si>
  <si>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</si>
  <si>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</si>
  <si>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</si>
  <si>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</si>
  <si>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</si>
  <si>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</si>
  <si>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</si>
  <si>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</si>
  <si>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</si>
  <si>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</si>
  <si>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</si>
  <si>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</si>
  <si>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</si>
  <si>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</si>
  <si>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</si>
  <si>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</si>
  <si>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</si>
  <si>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</si>
  <si>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</si>
  <si>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</si>
  <si>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</si>
  <si>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</si>
  <si>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</si>
  <si>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</si>
  <si>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</si>
  <si>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</si>
  <si>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</si>
  <si>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</si>
  <si>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</si>
  <si>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</si>
  <si>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</si>
  <si>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</si>
  <si>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</si>
  <si>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</si>
  <si>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</si>
  <si>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</si>
  <si>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</si>
  <si>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</si>
  <si>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</si>
  <si>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</si>
  <si>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</si>
  <si>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</si>
  <si>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</si>
  <si>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</si>
  <si>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</si>
  <si>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</si>
  <si>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</si>
  <si>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</si>
  <si>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</si>
  <si>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</si>
  <si>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</si>
  <si>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</si>
  <si>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</si>
  <si>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</si>
  <si>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</si>
  <si>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</si>
  <si>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</si>
  <si>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</si>
  <si>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</si>
  <si>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</si>
  <si>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</si>
  <si>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</si>
  <si>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</si>
  <si>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</si>
  <si>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</si>
  <si>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</si>
  <si>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</si>
  <si>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</si>
  <si>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</si>
  <si>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</si>
  <si>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</si>
  <si>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</si>
  <si>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</si>
  <si>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</si>
  <si>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</si>
  <si>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</si>
  <si>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</si>
  <si>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</si>
  <si>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</si>
  <si>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</si>
  <si>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</si>
  <si>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</si>
  <si>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</si>
  <si>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</si>
  <si>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</si>
  <si>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</si>
  <si>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</si>
  <si>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</si>
  <si>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</si>
  <si>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</si>
  <si>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</si>
  <si>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</si>
  <si>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</si>
  <si>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</si>
  <si>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</si>
  <si>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</si>
  <si>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</si>
  <si>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</si>
  <si>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</si>
  <si>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</si>
  <si>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</si>
  <si>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</si>
  <si>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</si>
  <si>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</si>
  <si>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</si>
  <si>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</si>
  <si>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</si>
  <si>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</si>
  <si>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</si>
  <si>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</si>
  <si>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</si>
  <si>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</si>
  <si>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</si>
  <si>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</si>
  <si>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</si>
  <si>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</si>
  <si>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</si>
  <si>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</si>
  <si>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</si>
  <si>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</si>
  <si>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</si>
  <si>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</si>
  <si>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</si>
  <si>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</si>
  <si>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</si>
  <si>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</si>
  <si>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</si>
  <si>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</si>
  <si>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</si>
  <si>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</si>
  <si>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</si>
  <si>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</si>
  <si>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</si>
  <si>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</si>
  <si>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</si>
  <si>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</si>
  <si>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</si>
  <si>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</si>
  <si>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</si>
  <si>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</si>
  <si>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</si>
  <si>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</si>
  <si>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</si>
  <si>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</si>
  <si>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</si>
  <si>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</si>
  <si>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</si>
  <si>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</si>
  <si>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</si>
  <si>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</si>
  <si>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</si>
  <si>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</si>
  <si>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</si>
  <si>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</si>
  <si>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</si>
  <si>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</si>
  <si>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</si>
  <si>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</si>
  <si>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</si>
  <si>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</si>
  <si>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</si>
  <si>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</si>
  <si>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</si>
  <si>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</si>
  <si>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</si>
  <si>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</si>
  <si>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</si>
  <si>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</si>
  <si>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</si>
  <si>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</si>
  <si>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</si>
  <si>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</si>
  <si>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</si>
  <si>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</si>
  <si>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</si>
  <si>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</si>
  <si>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</si>
  <si>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</si>
  <si>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</si>
  <si>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</si>
  <si>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</si>
  <si>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</si>
  <si>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</si>
  <si>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</si>
  <si>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</si>
  <si>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</si>
  <si>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</si>
  <si>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</si>
  <si>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</si>
  <si>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</si>
  <si>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</si>
  <si>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</si>
  <si>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</si>
  <si>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</si>
  <si>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</si>
  <si>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</si>
  <si>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</si>
  <si>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</si>
  <si>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</si>
  <si>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</si>
  <si>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</si>
  <si>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</si>
  <si>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</si>
  <si>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</si>
  <si>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</si>
  <si>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</si>
  <si>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</si>
  <si>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</si>
  <si>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</si>
  <si>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</si>
  <si>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</si>
  <si>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</si>
  <si>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</si>
  <si>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</si>
  <si>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</si>
  <si>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</si>
  <si>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</si>
  <si>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</si>
  <si>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</si>
  <si>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</si>
  <si>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</si>
  <si>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</si>
  <si>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</si>
  <si>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</si>
  <si>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</si>
  <si>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</si>
  <si>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</si>
  <si>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</si>
  <si>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</si>
  <si>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</si>
  <si>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</si>
  <si>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</si>
  <si>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</si>
  <si>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</si>
  <si>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</si>
  <si>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</si>
  <si>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</si>
  <si>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</si>
  <si>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</si>
  <si>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</si>
  <si>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</si>
  <si>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</si>
  <si>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</si>
  <si>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</si>
  <si>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</si>
  <si>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</si>
  <si>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</si>
  <si>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</si>
  <si>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</si>
  <si>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</si>
  <si>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</si>
  <si>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</si>
  <si>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</si>
  <si>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</si>
  <si>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</si>
  <si>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</si>
  <si>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</si>
  <si>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</si>
  <si>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</si>
  <si>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</si>
  <si>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</si>
  <si>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</si>
  <si>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</si>
  <si>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</si>
  <si>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</si>
  <si>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</si>
  <si>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</si>
  <si>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</si>
  <si>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</si>
  <si>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</si>
  <si>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</si>
  <si>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</si>
  <si>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</si>
  <si>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</si>
  <si>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</si>
  <si>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</si>
  <si>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</si>
  <si>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</si>
  <si>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</si>
  <si>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</si>
  <si>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</si>
  <si>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</si>
  <si>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</si>
  <si>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</si>
  <si>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</si>
  <si>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</si>
  <si>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</si>
  <si>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</si>
  <si>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</si>
  <si>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</si>
  <si>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</si>
  <si>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</si>
  <si>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</si>
  <si>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</si>
  <si>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</si>
  <si>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</si>
  <si>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</si>
  <si>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</si>
  <si>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</si>
  <si>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</si>
  <si>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</si>
  <si>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</si>
  <si>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</si>
  <si>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</si>
  <si>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</si>
  <si>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</si>
  <si>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</si>
  <si>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</si>
  <si>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</si>
  <si>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</si>
  <si>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</si>
  <si>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</si>
  <si>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</si>
  <si>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</si>
  <si>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</si>
  <si>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</si>
  <si>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</si>
  <si>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</si>
  <si>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</si>
  <si>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</si>
  <si>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</si>
  <si>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</si>
  <si>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</si>
  <si>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</si>
  <si>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</si>
  <si>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</si>
  <si>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</si>
  <si>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</si>
  <si>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</si>
  <si>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</si>
  <si>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</si>
  <si>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</si>
  <si>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</si>
  <si>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</si>
  <si>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</si>
  <si>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</si>
  <si>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</si>
  <si>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</si>
  <si>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</si>
  <si>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</si>
  <si>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</si>
  <si>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</si>
  <si>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</si>
  <si>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</si>
  <si>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</si>
  <si>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</si>
  <si>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</si>
  <si>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</si>
  <si>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</si>
  <si>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</si>
  <si>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</si>
  <si>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</si>
  <si>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</si>
  <si>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</si>
  <si>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</si>
  <si>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</si>
  <si>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</si>
  <si>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</si>
  <si>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</si>
  <si>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</si>
  <si>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</si>
  <si>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</si>
  <si>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</si>
  <si>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</si>
  <si>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</si>
  <si>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</si>
  <si>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</si>
  <si>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</si>
  <si>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</si>
  <si>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</si>
  <si>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</si>
  <si>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</si>
  <si>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</si>
  <si>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</si>
  <si>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</si>
  <si>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</si>
  <si>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</si>
  <si>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</si>
  <si>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</si>
  <si>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</si>
  <si>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</si>
  <si>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</si>
  <si>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</si>
  <si>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</si>
  <si>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</si>
  <si>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</si>
  <si>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</si>
  <si>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</si>
  <si>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</si>
  <si>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</si>
  <si>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</si>
  <si>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</si>
  <si>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</si>
  <si>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</si>
  <si>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</si>
  <si>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</si>
  <si>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</si>
  <si>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</si>
  <si>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</si>
  <si>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</si>
  <si>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</si>
  <si>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</si>
  <si>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</si>
  <si>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</si>
  <si>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</si>
  <si>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</si>
  <si>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</si>
  <si>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</si>
  <si>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</si>
  <si>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</si>
  <si>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</si>
  <si>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</si>
  <si>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</si>
  <si>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</si>
  <si>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</si>
  <si>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</si>
  <si>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</si>
  <si>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</si>
  <si>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</si>
  <si>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</si>
  <si>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</si>
  <si>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</si>
  <si>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</si>
  <si>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</si>
  <si>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</si>
  <si>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</si>
  <si>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</si>
  <si>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</si>
  <si>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</si>
  <si>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</si>
  <si>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</si>
  <si>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</si>
  <si>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</si>
  <si>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</si>
  <si>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</si>
  <si>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</si>
  <si>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</si>
  <si>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</si>
  <si>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</si>
  <si>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</si>
  <si>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</si>
  <si>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</si>
  <si>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</si>
  <si>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</si>
  <si>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</si>
  <si>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</si>
  <si>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</si>
  <si>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</si>
  <si>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</si>
  <si>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</si>
  <si>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</si>
  <si>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</si>
  <si>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</si>
  <si>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</si>
  <si>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</si>
  <si>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</si>
  <si>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</si>
  <si>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</si>
  <si>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</si>
  <si>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</si>
  <si>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</si>
  <si>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</si>
  <si>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</si>
  <si>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</si>
  <si>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</si>
  <si>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</si>
  <si>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</si>
  <si>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</si>
  <si>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</si>
  <si>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</si>
  <si>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</si>
  <si>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</si>
  <si>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</si>
  <si>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</si>
  <si>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</si>
  <si>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</si>
  <si>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</si>
  <si>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</si>
  <si>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</si>
  <si>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</si>
  <si>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</si>
  <si>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</si>
  <si>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</si>
  <si>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</si>
  <si>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</si>
  <si>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</si>
  <si>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</si>
  <si>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</si>
  <si>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</si>
  <si>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</si>
  <si>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</si>
  <si>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</si>
  <si>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</si>
  <si>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</si>
  <si>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</si>
  <si>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</si>
  <si>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</si>
  <si>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</si>
  <si>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</si>
  <si>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</si>
  <si>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</si>
  <si>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</si>
  <si>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</si>
  <si>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</si>
  <si>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</si>
  <si>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</si>
  <si>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</si>
  <si>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</si>
  <si>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</si>
  <si>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</si>
  <si>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</si>
  <si>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</si>
  <si>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</si>
  <si>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</si>
  <si>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</si>
  <si>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</si>
  <si>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</si>
  <si>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</si>
  <si>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</si>
  <si>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</si>
  <si>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</si>
  <si>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</si>
  <si>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</si>
  <si>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</si>
  <si>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</si>
  <si>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</si>
  <si>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</si>
  <si>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</si>
  <si>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</si>
  <si>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</si>
  <si>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</si>
  <si>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</si>
  <si>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</si>
  <si>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</si>
  <si>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</si>
  <si>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</si>
  <si>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</si>
  <si>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</si>
  <si>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</si>
  <si>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</si>
  <si>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</si>
  <si>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</si>
  <si>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</si>
  <si>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</si>
  <si>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</si>
  <si>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</si>
  <si>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</si>
  <si>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</si>
  <si>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</si>
  <si>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</si>
  <si>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</si>
  <si>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</si>
  <si>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</si>
  <si>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</si>
  <si>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</si>
  <si>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</si>
  <si>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</si>
  <si>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</si>
  <si>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</si>
  <si>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</si>
  <si>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</si>
  <si>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</si>
  <si>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</si>
  <si>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</si>
  <si>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</si>
  <si>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</si>
  <si>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</si>
  <si>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</si>
  <si>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</si>
  <si>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</si>
  <si>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</si>
  <si>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</si>
  <si>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</si>
  <si>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</si>
  <si>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</si>
  <si>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</si>
  <si>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</si>
  <si>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</si>
  <si>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</si>
  <si>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</si>
  <si>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</si>
  <si>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</si>
  <si>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</si>
  <si>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</si>
  <si>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</si>
  <si>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</si>
  <si>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</si>
  <si>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</si>
  <si>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</si>
  <si>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</si>
  <si>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</si>
  <si>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</si>
  <si>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</si>
  <si>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</si>
  <si>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</si>
  <si>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</si>
  <si>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</si>
  <si>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</si>
  <si>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</si>
  <si>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</si>
  <si>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</si>
  <si>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</si>
  <si>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</si>
  <si>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</si>
  <si>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</si>
  <si>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</si>
  <si>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</si>
  <si>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</si>
  <si>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</si>
  <si>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</si>
  <si>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</si>
  <si>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</si>
  <si>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</si>
  <si>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</si>
  <si>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</si>
  <si>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</si>
  <si>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</si>
  <si>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</si>
  <si>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</si>
  <si>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</si>
  <si>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</si>
  <si>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</si>
  <si>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</si>
  <si>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</si>
  <si>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</si>
  <si>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</si>
  <si>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</si>
  <si>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</si>
  <si>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</si>
  <si>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</si>
  <si>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</si>
  <si>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</si>
  <si>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</si>
  <si>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</si>
  <si>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</si>
  <si>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</si>
  <si>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</si>
  <si>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</si>
  <si>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</si>
  <si>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</si>
  <si>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</si>
  <si>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</si>
  <si>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</si>
  <si>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</si>
  <si>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</si>
  <si>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</si>
  <si>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</si>
  <si>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</si>
  <si>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</si>
  <si>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</si>
  <si>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</si>
  <si>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</si>
  <si>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</si>
  <si>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</si>
  <si>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</si>
  <si>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</si>
  <si>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</si>
  <si>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</si>
  <si>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</si>
  <si>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</si>
  <si>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</si>
  <si>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</si>
  <si>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</si>
  <si>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</si>
  <si>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</si>
  <si>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</si>
  <si>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</si>
  <si>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</si>
  <si>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</si>
  <si>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</si>
  <si>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</si>
  <si>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</si>
  <si>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</si>
  <si>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</si>
  <si>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</si>
  <si>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</si>
  <si>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</si>
  <si>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</si>
  <si>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</si>
  <si>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</si>
  <si>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</si>
  <si>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</si>
  <si>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</si>
  <si>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</si>
  <si>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</si>
  <si>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</si>
  <si>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</si>
  <si>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</si>
  <si>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</si>
  <si>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</si>
  <si>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</si>
  <si>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</si>
  <si>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</si>
  <si>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</si>
  <si>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</si>
  <si>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</si>
  <si>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</si>
  <si>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</si>
  <si>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</si>
  <si>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</si>
  <si>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</si>
  <si>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</si>
  <si>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</si>
  <si>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</si>
  <si>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</si>
  <si>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</si>
  <si>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</si>
  <si>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</si>
  <si>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</si>
  <si>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</si>
  <si>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</si>
  <si>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</si>
  <si>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</si>
  <si>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</si>
  <si>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</si>
  <si>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</si>
  <si>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</si>
  <si>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</si>
  <si>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</si>
  <si>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</si>
  <si>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</si>
  <si>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</si>
  <si>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</si>
  <si>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</si>
  <si>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</si>
  <si>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</si>
  <si>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</si>
  <si>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</si>
  <si>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</si>
  <si>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</si>
  <si>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</si>
  <si>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</si>
  <si>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</si>
  <si>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</si>
  <si>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</si>
  <si>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</si>
  <si>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</si>
  <si>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</si>
  <si>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</si>
  <si>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</si>
  <si>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</si>
  <si>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</si>
  <si>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</si>
  <si>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</si>
  <si>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</si>
  <si>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</si>
  <si>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</si>
  <si>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</si>
  <si>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</si>
  <si>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</si>
  <si>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</si>
  <si>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</si>
  <si>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</si>
  <si>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</si>
  <si>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</si>
  <si>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</si>
  <si>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</si>
  <si>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</si>
  <si>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</si>
  <si>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</si>
  <si>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</si>
  <si>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</si>
  <si>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</si>
  <si>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</si>
  <si>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</si>
  <si>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</si>
  <si>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</si>
  <si>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</si>
  <si>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</si>
  <si>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</si>
  <si>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</si>
  <si>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</si>
  <si>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</si>
  <si>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</si>
  <si>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</si>
  <si>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</si>
  <si>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</si>
  <si>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</si>
  <si>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</si>
  <si>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</si>
  <si>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</si>
  <si>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</si>
  <si>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</si>
  <si>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</si>
  <si>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</si>
  <si>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</si>
  <si>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</si>
  <si>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</si>
  <si>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</si>
  <si>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</si>
  <si>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</si>
  <si>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</si>
  <si>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</si>
  <si>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</si>
  <si>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</si>
  <si>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</si>
  <si>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</si>
  <si>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</si>
  <si>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</si>
  <si>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</si>
  <si>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</si>
  <si>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</si>
  <si>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</si>
  <si>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</si>
  <si>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</si>
  <si>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</si>
  <si>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</si>
  <si>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</si>
  <si>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</si>
  <si>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</si>
  <si>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</si>
  <si>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</si>
  <si>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</si>
  <si>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</si>
  <si>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</si>
  <si>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</si>
  <si>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</si>
  <si>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</si>
  <si>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</si>
  <si>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</si>
  <si>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</si>
  <si>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</si>
  <si>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</si>
  <si>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</si>
  <si>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</si>
  <si>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</si>
  <si>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</si>
  <si>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</si>
  <si>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</si>
  <si>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</si>
  <si>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</si>
  <si>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</si>
  <si>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</si>
  <si>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</si>
  <si>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</si>
  <si>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</si>
  <si>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</si>
  <si>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</si>
  <si>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</si>
  <si>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</si>
  <si>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</si>
  <si>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</si>
  <si>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</si>
  <si>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</si>
  <si>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</si>
  <si>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</si>
  <si>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</si>
  <si>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</si>
  <si>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</si>
  <si>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</si>
  <si>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</si>
  <si>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</si>
  <si>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</si>
  <si>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</si>
  <si>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</si>
  <si>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</si>
  <si>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</si>
  <si>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</si>
  <si>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</si>
  <si>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</si>
  <si>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</si>
  <si>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</si>
  <si>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</si>
  <si>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</si>
  <si>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</si>
  <si>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</si>
  <si>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</si>
  <si>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</si>
  <si>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</si>
  <si>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</si>
  <si>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</si>
  <si>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</si>
  <si>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</si>
  <si>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</si>
  <si>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</si>
  <si>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</si>
  <si>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</si>
  <si>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</si>
  <si>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</si>
  <si>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</si>
  <si>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</si>
  <si>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</si>
  <si>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</si>
  <si>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</si>
  <si>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</si>
  <si>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</si>
  <si>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</si>
  <si>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</si>
  <si>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</si>
  <si>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</si>
  <si>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</si>
  <si>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</si>
  <si>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</si>
  <si>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</si>
  <si>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</si>
  <si>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</si>
  <si>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</si>
  <si>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</si>
  <si>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</si>
  <si>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</si>
  <si>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</si>
  <si>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</si>
  <si>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</si>
  <si>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</si>
  <si>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</si>
  <si>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</si>
  <si>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</si>
  <si>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WEEK28</t>
  </si>
  <si>
    <t>Action Plan AC#1 WK28</t>
  </si>
  <si>
    <t>Action Plan AC#2 WK28</t>
  </si>
  <si>
    <t>Action Plan AC#1 TOTAL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</si>
  <si>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</si>
  <si>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</si>
  <si>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</si>
  <si>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</si>
  <si>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</si>
  <si>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</si>
  <si>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</si>
  <si>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</si>
  <si>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</si>
  <si>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</si>
  <si>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</si>
  <si>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</si>
  <si>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</si>
  <si>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</si>
  <si>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Backlog Backlog Week 27 VS 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</si>
  <si>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</si>
  <si>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</si>
  <si>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</si>
  <si>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</si>
  <si>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</si>
  <si>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</si>
  <si>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</si>
  <si>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</si>
  <si>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</si>
  <si>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</si>
  <si>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</si>
  <si>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</si>
  <si>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</si>
  <si>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</si>
  <si>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</si>
  <si>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</si>
  <si>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</si>
  <si>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</si>
  <si>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</si>
  <si>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</si>
  <si>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</si>
  <si>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</si>
  <si>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</si>
  <si>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</si>
  <si>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</si>
  <si>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Plan: Action Plan AC#1 WK28</t>
  </si>
  <si>
    <t>Plan: Action Plan AC#2 WK28</t>
  </si>
  <si>
    <t>Plan: Action Plan TOTAL WK28</t>
  </si>
  <si>
    <t>26WK29</t>
  </si>
  <si>
    <t>EP26070012</t>
  </si>
  <si>
    <t>EP26070013</t>
  </si>
  <si>
    <t>ACTION PLAN AC#2 WK29</t>
  </si>
  <si>
    <t>Acctance Plan AC#1 WK29</t>
  </si>
  <si>
    <t>3 วัน</t>
  </si>
  <si>
    <t>4 วัน</t>
  </si>
  <si>
    <t>12 วัน</t>
  </si>
  <si>
    <t>ยอด Actual Actual Acceptance TOTAL (JAN-JULY) HUAWEI</t>
  </si>
  <si>
    <t>ยอด Actual Actual Acceptance TOTAL (JAN-JULY) TRUE-TUC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</si>
</sst>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C19" sqref="C19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1373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1.7333333333333334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1318</v>
      </c>
      <c r="C3" t="s">
        <v>39</v>
      </c>
      <c r="D3" s="50">
        <f>AVERAGEIF('2026'!G:G,"HAE",'2026'!BD:BD)</f>
        <v>1.7333333333333334</v>
      </c>
      <c r="E3" t="s">
        <v>1321</v>
      </c>
    </row>
    <row r="4" spans="1:7" x14ac:dyDescent="0.25">
      <c r="A4" t="s">
        <v>19</v>
      </c>
      <c r="B4" t="s">
        <v>1320</v>
      </c>
      <c r="C4" t="s">
        <v>42</v>
      </c>
      <c r="D4" s="50">
        <f>AVERAGEIF('2026'!G:G,"HAE",'2026'!BE:BE)</f>
        <v>3.9437500000000001</v>
      </c>
      <c r="E4" t="s">
        <v>1323</v>
      </c>
    </row>
    <row r="5" spans="1:7" x14ac:dyDescent="0.25">
      <c r="A5" t="s">
        <v>23</v>
      </c>
      <c r="B5" t="s">
        <v>1319</v>
      </c>
      <c r="C5" t="s">
        <v>40</v>
      </c>
      <c r="D5" s="50">
        <v>2.63</v>
      </c>
      <c r="E5" t="s">
        <v>1322</v>
      </c>
    </row>
    <row r="6" spans="1:7" x14ac:dyDescent="0.25">
      <c r="A6" t="s">
        <v>23</v>
      </c>
      <c r="B6" t="s">
        <v>1316</v>
      </c>
      <c r="C6" t="s">
        <v>43</v>
      </c>
      <c r="D6" s="50">
        <v>16.100000000000001</v>
      </c>
      <c r="E6" t="s">
        <v>1324</v>
      </c>
    </row>
    <row r="7" spans="1:7" x14ac:dyDescent="0.25">
      <c r="A7" t="s">
        <v>23</v>
      </c>
      <c r="B7" t="s">
        <v>1317</v>
      </c>
      <c r="C7" t="s">
        <v>43</v>
      </c>
      <c r="D7" s="50">
        <v>2.2999999999999998</v>
      </c>
      <c r="E7" t="s">
        <v>1325</v>
      </c>
    </row>
    <row r="8" spans="1:7" x14ac:dyDescent="0.25">
      <c r="A8" t="s">
        <v>27</v>
      </c>
      <c r="B8" t="s">
        <v>1326</v>
      </c>
      <c r="C8" t="s">
        <v>1328</v>
      </c>
      <c r="D8" s="50">
        <f>AVERAGE(D3:D4)</f>
        <v>2.838541666666667</v>
      </c>
      <c r="E8" t="s">
        <v>46</v>
      </c>
    </row>
    <row r="9" spans="1:7" x14ac:dyDescent="0.25">
      <c r="A9" t="s">
        <v>27</v>
      </c>
      <c r="B9" t="s">
        <v>1327</v>
      </c>
      <c r="C9" t="s">
        <v>1329</v>
      </c>
      <c r="D9" s="50">
        <f>AVERAGE(D4:D5)</f>
        <v>3.2868750000000002</v>
      </c>
      <c r="E9" t="s">
        <v>46</v>
      </c>
    </row>
    <row r="10" spans="1:7" x14ac:dyDescent="0.25">
      <c r="A10" t="s">
        <v>34</v>
      </c>
      <c r="B10" t="s">
        <v>1314</v>
      </c>
      <c r="C10" t="s">
        <v>1330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1315</v>
      </c>
      <c r="C11" t="s">
        <v>1331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11" sqref="D11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1332</v>
      </c>
      <c r="C2" t="s">
        <v>1332</v>
      </c>
      <c r="D2">
        <v>113101</v>
      </c>
      <c r="E2" t="s">
        <v>17</v>
      </c>
      <c r="F2">
        <v>6</v>
      </c>
      <c r="G2" t="s">
        <v>1333</v>
      </c>
    </row>
    <row r="3" spans="1:7" x14ac:dyDescent="0.25">
      <c r="A3" t="s">
        <v>38</v>
      </c>
      <c r="B3" t="s">
        <v>1375</v>
      </c>
      <c r="C3" t="s">
        <v>1375</v>
      </c>
      <c r="D3">
        <v>247932</v>
      </c>
      <c r="E3" t="s">
        <v>17</v>
      </c>
      <c r="F3">
        <v>13</v>
      </c>
      <c r="G3" t="s">
        <v>1374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7.8125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2666326.88</v>
      </c>
      <c r="E7">
        <f>'2026'!BH2</f>
        <v>1423720.5199999982</v>
      </c>
      <c r="F7" s="50">
        <f>AVERAGE('2026'!BJ4:BJ259)</f>
        <v>11.48471615720524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1142711.52</v>
      </c>
      <c r="E8">
        <f>'2026'!BK2</f>
        <v>326305.89999999991</v>
      </c>
      <c r="F8" s="50">
        <f>AVERAGE('2026'!BM4:BM259)</f>
        <v>21.519736842105264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D40" sqref="D40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3809038.4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2133777.3800000008</v>
      </c>
      <c r="E5" t="s">
        <v>93</v>
      </c>
    </row>
    <row r="6" spans="1:5" x14ac:dyDescent="0.25">
      <c r="A6" t="s">
        <v>55</v>
      </c>
      <c r="B6" t="s">
        <v>1353</v>
      </c>
      <c r="C6" t="s">
        <v>95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1353</v>
      </c>
      <c r="C7" t="s">
        <v>1352</v>
      </c>
      <c r="D7" s="49">
        <f>Sheet1!N20</f>
        <v>2317847.48</v>
      </c>
      <c r="E7" t="s">
        <v>96</v>
      </c>
    </row>
    <row r="8" spans="1:5" x14ac:dyDescent="0.25">
      <c r="A8" t="s">
        <v>56</v>
      </c>
      <c r="B8" t="s">
        <v>98</v>
      </c>
      <c r="C8" t="s">
        <v>98</v>
      </c>
      <c r="D8" s="49">
        <v>125040.29999999997</v>
      </c>
      <c r="E8" t="s">
        <v>97</v>
      </c>
    </row>
    <row r="9" spans="1:5" x14ac:dyDescent="0.25">
      <c r="A9" t="s">
        <v>56</v>
      </c>
      <c r="B9" t="s">
        <v>100</v>
      </c>
      <c r="C9" t="s">
        <v>100</v>
      </c>
      <c r="D9" s="49">
        <v>175889.59999999998</v>
      </c>
      <c r="E9" t="s">
        <v>99</v>
      </c>
    </row>
    <row r="10" spans="1:5" x14ac:dyDescent="0.25">
      <c r="A10" t="s">
        <v>56</v>
      </c>
      <c r="B10" t="s">
        <v>1313</v>
      </c>
      <c r="C10" t="s">
        <v>1313</v>
      </c>
      <c r="D10" s="49">
        <v>195674.89999999994</v>
      </c>
      <c r="E10" t="s">
        <v>1334</v>
      </c>
    </row>
    <row r="11" spans="1:5" x14ac:dyDescent="0.25">
      <c r="A11" s="68" t="s">
        <v>56</v>
      </c>
      <c r="B11" s="68" t="s">
        <v>1358</v>
      </c>
      <c r="C11" s="68" t="s">
        <v>1358</v>
      </c>
      <c r="D11" s="69">
        <v>191319.80000000002</v>
      </c>
      <c r="E11" s="68" t="s">
        <v>1359</v>
      </c>
    </row>
    <row r="12" spans="1:5" x14ac:dyDescent="0.25">
      <c r="A12" t="s">
        <v>60</v>
      </c>
      <c r="B12" t="s">
        <v>1356</v>
      </c>
      <c r="C12" t="s">
        <v>1356</v>
      </c>
      <c r="D12" s="49">
        <v>3706435.56</v>
      </c>
      <c r="E12" t="s">
        <v>1390</v>
      </c>
    </row>
    <row r="13" spans="1:5" x14ac:dyDescent="0.25">
      <c r="A13" t="s">
        <v>60</v>
      </c>
      <c r="B13" t="s">
        <v>1357</v>
      </c>
      <c r="C13" t="s">
        <v>1357</v>
      </c>
      <c r="D13" s="49">
        <v>4383866.2385710711</v>
      </c>
      <c r="E13" t="s">
        <v>1391</v>
      </c>
    </row>
    <row r="14" spans="1:5" x14ac:dyDescent="0.25">
      <c r="A14" s="68" t="s">
        <v>64</v>
      </c>
      <c r="B14" s="68" t="s">
        <v>1379</v>
      </c>
      <c r="C14" s="68" t="s">
        <v>1336</v>
      </c>
      <c r="D14" s="69">
        <v>99153.400000000009</v>
      </c>
      <c r="E14" s="68" t="s">
        <v>1336</v>
      </c>
    </row>
    <row r="15" spans="1:5" x14ac:dyDescent="0.25">
      <c r="A15" s="68" t="s">
        <v>64</v>
      </c>
      <c r="B15" s="68" t="s">
        <v>1380</v>
      </c>
      <c r="C15" s="68" t="s">
        <v>1337</v>
      </c>
      <c r="D15" s="69">
        <v>73679.429999999993</v>
      </c>
      <c r="E15" s="68" t="s">
        <v>1337</v>
      </c>
    </row>
    <row r="16" spans="1:5" x14ac:dyDescent="0.25">
      <c r="A16" s="68" t="s">
        <v>64</v>
      </c>
      <c r="B16" s="68" t="s">
        <v>1381</v>
      </c>
      <c r="C16" s="68" t="s">
        <v>1360</v>
      </c>
      <c r="D16" s="69">
        <f>SUM(D14:D15)</f>
        <v>172832.83000000002</v>
      </c>
      <c r="E16" s="68" t="s">
        <v>1360</v>
      </c>
    </row>
    <row r="17" spans="1:7" x14ac:dyDescent="0.25">
      <c r="A17" t="s">
        <v>68</v>
      </c>
      <c r="B17" t="s">
        <v>1363</v>
      </c>
      <c r="C17" t="s">
        <v>1361</v>
      </c>
      <c r="D17" s="49">
        <v>0</v>
      </c>
      <c r="E17" t="s">
        <v>101</v>
      </c>
    </row>
    <row r="18" spans="1:7" x14ac:dyDescent="0.25">
      <c r="A18" t="s">
        <v>68</v>
      </c>
      <c r="B18" t="s">
        <v>1364</v>
      </c>
      <c r="C18" t="s">
        <v>1361</v>
      </c>
      <c r="D18" s="49">
        <v>0</v>
      </c>
      <c r="E18" t="s">
        <v>102</v>
      </c>
    </row>
    <row r="19" spans="1:7" x14ac:dyDescent="0.25">
      <c r="A19" t="s">
        <v>68</v>
      </c>
      <c r="B19" t="s">
        <v>1365</v>
      </c>
      <c r="C19" t="s">
        <v>1361</v>
      </c>
      <c r="D19" s="49">
        <v>0</v>
      </c>
      <c r="E19" t="s">
        <v>103</v>
      </c>
    </row>
    <row r="20" spans="1:7" x14ac:dyDescent="0.25">
      <c r="A20" t="s">
        <v>68</v>
      </c>
      <c r="B20" t="s">
        <v>1366</v>
      </c>
      <c r="C20" t="s">
        <v>1361</v>
      </c>
      <c r="D20" s="49">
        <f>Sheet1!R18</f>
        <v>64299.000000000036</v>
      </c>
      <c r="E20" t="s">
        <v>104</v>
      </c>
    </row>
    <row r="21" spans="1:7" x14ac:dyDescent="0.25">
      <c r="A21" t="s">
        <v>68</v>
      </c>
      <c r="B21" t="s">
        <v>1367</v>
      </c>
      <c r="C21" t="s">
        <v>1338</v>
      </c>
      <c r="D21" s="49">
        <f>SUM(D17:D20)</f>
        <v>64299.000000000036</v>
      </c>
      <c r="E21" t="s">
        <v>105</v>
      </c>
    </row>
    <row r="22" spans="1:7" x14ac:dyDescent="0.25">
      <c r="A22" t="s">
        <v>71</v>
      </c>
      <c r="B22" t="s">
        <v>1368</v>
      </c>
      <c r="C22" t="s">
        <v>1362</v>
      </c>
      <c r="E22" t="s">
        <v>101</v>
      </c>
    </row>
    <row r="23" spans="1:7" x14ac:dyDescent="0.25">
      <c r="A23" t="s">
        <v>71</v>
      </c>
      <c r="B23" t="s">
        <v>1369</v>
      </c>
      <c r="C23" t="s">
        <v>1362</v>
      </c>
      <c r="E23" t="s">
        <v>102</v>
      </c>
    </row>
    <row r="24" spans="1:7" x14ac:dyDescent="0.25">
      <c r="A24" t="s">
        <v>71</v>
      </c>
      <c r="B24" t="s">
        <v>1370</v>
      </c>
      <c r="C24" t="s">
        <v>1362</v>
      </c>
      <c r="D24" s="49">
        <f>Sheet1!R15</f>
        <v>15779.399999999996</v>
      </c>
      <c r="E24" t="s">
        <v>103</v>
      </c>
    </row>
    <row r="25" spans="1:7" x14ac:dyDescent="0.25">
      <c r="A25" t="s">
        <v>71</v>
      </c>
      <c r="B25" t="s">
        <v>1371</v>
      </c>
      <c r="C25" t="s">
        <v>1362</v>
      </c>
      <c r="D25" s="49">
        <f>Sheet1!R16</f>
        <v>52032.359999999971</v>
      </c>
      <c r="E25" t="s">
        <v>104</v>
      </c>
    </row>
    <row r="26" spans="1:7" x14ac:dyDescent="0.25">
      <c r="A26" t="s">
        <v>71</v>
      </c>
      <c r="B26" t="s">
        <v>1372</v>
      </c>
      <c r="C26" t="s">
        <v>106</v>
      </c>
      <c r="D26" s="49">
        <f>SUM(D22:D25)</f>
        <v>67811.759999999966</v>
      </c>
      <c r="E26" t="s">
        <v>107</v>
      </c>
    </row>
    <row r="27" spans="1:7" x14ac:dyDescent="0.25">
      <c r="A27" t="s">
        <v>74</v>
      </c>
      <c r="B27" t="s">
        <v>108</v>
      </c>
      <c r="C27" t="s">
        <v>109</v>
      </c>
      <c r="D27" s="49">
        <f>SUMIF('2026'!BP:BP,'Part 4 - Financials'!F27&amp;'Part 4 - Financials'!G27,'2026'!AB:AB)</f>
        <v>230347</v>
      </c>
      <c r="E27" t="s">
        <v>110</v>
      </c>
      <c r="F27" t="s">
        <v>111</v>
      </c>
      <c r="G27" t="s">
        <v>112</v>
      </c>
    </row>
    <row r="28" spans="1:7" x14ac:dyDescent="0.25">
      <c r="A28" t="s">
        <v>74</v>
      </c>
      <c r="B28" t="s">
        <v>108</v>
      </c>
      <c r="C28" t="s">
        <v>113</v>
      </c>
      <c r="D28" s="49">
        <f>SUMIF('2026'!BP:BP,'Part 4 - Financials'!F28&amp;'Part 4 - Financials'!G28,'2026'!AB:AB)</f>
        <v>225486.40000000002</v>
      </c>
      <c r="E28" t="s">
        <v>110</v>
      </c>
      <c r="F28" t="s">
        <v>111</v>
      </c>
      <c r="G28" t="s">
        <v>114</v>
      </c>
    </row>
    <row r="29" spans="1:7" x14ac:dyDescent="0.25">
      <c r="A29" t="s">
        <v>74</v>
      </c>
      <c r="B29" t="s">
        <v>108</v>
      </c>
      <c r="C29" t="s">
        <v>115</v>
      </c>
      <c r="D29" s="49">
        <f>SUMIF('2026'!BP:BP,'Part 4 - Financials'!F29&amp;'Part 4 - Financials'!G29,'2026'!AB:AB)</f>
        <v>5107</v>
      </c>
      <c r="E29" t="s">
        <v>110</v>
      </c>
      <c r="F29" t="s">
        <v>111</v>
      </c>
      <c r="G29" t="s">
        <v>116</v>
      </c>
    </row>
    <row r="30" spans="1:7" x14ac:dyDescent="0.25">
      <c r="A30" t="s">
        <v>74</v>
      </c>
      <c r="B30" t="s">
        <v>108</v>
      </c>
      <c r="C30" t="s">
        <v>117</v>
      </c>
      <c r="D30" s="49">
        <f>SUMIF('2026'!BP:BP,'Part 4 - Financials'!F30&amp;'Part 4 - Financials'!G30,'2026'!AB:AB)</f>
        <v>3348098</v>
      </c>
      <c r="E30" t="s">
        <v>110</v>
      </c>
      <c r="F30" t="s">
        <v>118</v>
      </c>
      <c r="G30" t="s">
        <v>112</v>
      </c>
    </row>
    <row r="31" spans="1:7" x14ac:dyDescent="0.25">
      <c r="A31" t="s">
        <v>74</v>
      </c>
      <c r="B31" t="s">
        <v>108</v>
      </c>
      <c r="C31" t="s">
        <v>119</v>
      </c>
      <c r="D31" s="49">
        <f>SUMIF('2026'!BP:BP,'Part 4 - Financials'!F31&amp;'Part 4 - Financials'!G31,'2026'!AB:AB)</f>
        <v>0</v>
      </c>
      <c r="E31" t="s">
        <v>110</v>
      </c>
      <c r="F31" t="s">
        <v>120</v>
      </c>
      <c r="G31" t="s">
        <v>121</v>
      </c>
    </row>
    <row r="32" spans="1:7" x14ac:dyDescent="0.25">
      <c r="A32" t="s">
        <v>80</v>
      </c>
      <c r="B32" t="s">
        <v>122</v>
      </c>
      <c r="C32" t="s">
        <v>123</v>
      </c>
      <c r="D32" s="49">
        <f>Sheet1!E6</f>
        <v>31999.17</v>
      </c>
      <c r="E32" t="s">
        <v>101</v>
      </c>
    </row>
    <row r="33" spans="1:5" x14ac:dyDescent="0.25">
      <c r="A33" t="s">
        <v>80</v>
      </c>
      <c r="B33" t="s">
        <v>124</v>
      </c>
      <c r="C33" t="s">
        <v>123</v>
      </c>
      <c r="D33" s="49">
        <f>Sheet1!E7</f>
        <v>9024.33</v>
      </c>
      <c r="E33" t="s">
        <v>102</v>
      </c>
    </row>
    <row r="34" spans="1:5" x14ac:dyDescent="0.25">
      <c r="A34" t="s">
        <v>80</v>
      </c>
      <c r="B34" t="s">
        <v>125</v>
      </c>
      <c r="C34" t="s">
        <v>123</v>
      </c>
      <c r="D34" s="49">
        <f>Sheet1!E8</f>
        <v>27600</v>
      </c>
      <c r="E34" t="s">
        <v>103</v>
      </c>
    </row>
    <row r="35" spans="1:5" x14ac:dyDescent="0.25">
      <c r="A35" t="s">
        <v>80</v>
      </c>
      <c r="B35" t="s">
        <v>126</v>
      </c>
      <c r="C35" t="s">
        <v>123</v>
      </c>
      <c r="D35" s="49">
        <f>Sheet1!E9</f>
        <v>78729.98</v>
      </c>
      <c r="E35" t="s">
        <v>104</v>
      </c>
    </row>
    <row r="36" spans="1:5" x14ac:dyDescent="0.25">
      <c r="A36" t="s">
        <v>80</v>
      </c>
      <c r="B36" t="s">
        <v>127</v>
      </c>
      <c r="C36" t="s">
        <v>128</v>
      </c>
      <c r="D36" s="49">
        <f>Sheet1!K6</f>
        <v>112782</v>
      </c>
      <c r="E36" t="s">
        <v>101</v>
      </c>
    </row>
    <row r="37" spans="1:5" x14ac:dyDescent="0.25">
      <c r="A37" t="s">
        <v>80</v>
      </c>
      <c r="B37" t="s">
        <v>129</v>
      </c>
      <c r="C37" t="s">
        <v>128</v>
      </c>
      <c r="D37" s="49">
        <f>Sheet1!K7</f>
        <v>60400</v>
      </c>
      <c r="E37" t="s">
        <v>102</v>
      </c>
    </row>
    <row r="38" spans="1:5" x14ac:dyDescent="0.25">
      <c r="A38" t="s">
        <v>80</v>
      </c>
      <c r="B38" t="s">
        <v>130</v>
      </c>
      <c r="C38" t="s">
        <v>128</v>
      </c>
      <c r="D38" s="49">
        <f>Sheet1!K8</f>
        <v>77207</v>
      </c>
      <c r="E38" t="s">
        <v>103</v>
      </c>
    </row>
    <row r="39" spans="1:5" x14ac:dyDescent="0.25">
      <c r="A39" t="s">
        <v>80</v>
      </c>
      <c r="B39" t="s">
        <v>131</v>
      </c>
      <c r="C39" t="s">
        <v>128</v>
      </c>
      <c r="D39" s="49">
        <f>Sheet1!K9</f>
        <v>1912783</v>
      </c>
      <c r="E39" t="s">
        <v>104</v>
      </c>
    </row>
    <row r="40" spans="1:5" x14ac:dyDescent="0.25">
      <c r="A40" t="s">
        <v>80</v>
      </c>
      <c r="B40" t="s">
        <v>132</v>
      </c>
      <c r="C40" t="s">
        <v>132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E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133</v>
      </c>
      <c r="D1" t="s">
        <v>134</v>
      </c>
    </row>
    <row r="2" spans="1:4" x14ac:dyDescent="0.25">
      <c r="A2" t="s">
        <v>84</v>
      </c>
      <c r="B2" t="s">
        <v>135</v>
      </c>
      <c r="C2" t="s">
        <v>136</v>
      </c>
      <c r="D2" t="s">
        <v>137</v>
      </c>
    </row>
    <row r="3" spans="1:4" x14ac:dyDescent="0.25">
      <c r="A3" t="s">
        <v>90</v>
      </c>
      <c r="B3" t="s">
        <v>138</v>
      </c>
      <c r="C3" t="s">
        <v>139</v>
      </c>
      <c r="D3" t="s">
        <v>140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141</v>
      </c>
      <c r="D1" t="s">
        <v>142</v>
      </c>
      <c r="E1" t="s">
        <v>143</v>
      </c>
    </row>
    <row r="2" spans="1:5" x14ac:dyDescent="0.25">
      <c r="A2" t="s">
        <v>144</v>
      </c>
      <c r="B2" t="s">
        <v>145</v>
      </c>
      <c r="C2" t="s">
        <v>146</v>
      </c>
      <c r="D2" t="s">
        <v>147</v>
      </c>
      <c r="E2" t="s">
        <v>148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abSelected="1" workbookViewId="0">
      <selection activeCell="G18" sqref="G18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7" t="s">
        <v>1339</v>
      </c>
      <c r="B1" s="88"/>
      <c r="C1" s="89"/>
      <c r="D1" s="51"/>
      <c r="E1" s="87" t="s">
        <v>1340</v>
      </c>
      <c r="F1" s="88"/>
      <c r="G1" s="89"/>
    </row>
    <row r="2" spans="1:7" ht="45.75" thickBot="1" x14ac:dyDescent="0.3">
      <c r="A2" s="52" t="s">
        <v>1341</v>
      </c>
      <c r="B2" s="53" t="s">
        <v>1342</v>
      </c>
      <c r="C2" s="54" t="s">
        <v>1343</v>
      </c>
      <c r="D2" s="51"/>
      <c r="E2" s="55" t="s">
        <v>1341</v>
      </c>
      <c r="F2" s="53" t="s">
        <v>1342</v>
      </c>
      <c r="G2" s="54" t="s">
        <v>1343</v>
      </c>
    </row>
    <row r="3" spans="1:7" ht="16.5" thickBot="1" x14ac:dyDescent="0.3">
      <c r="A3" s="52" t="s">
        <v>1344</v>
      </c>
      <c r="B3" s="53">
        <v>63</v>
      </c>
      <c r="C3" s="54">
        <v>0.7</v>
      </c>
      <c r="D3" s="51"/>
      <c r="E3" s="55" t="s">
        <v>1345</v>
      </c>
      <c r="F3" s="53">
        <v>55</v>
      </c>
      <c r="G3" s="54">
        <v>3</v>
      </c>
    </row>
    <row r="4" spans="1:7" ht="16.5" thickBot="1" x14ac:dyDescent="0.3">
      <c r="A4" s="52" t="s">
        <v>1346</v>
      </c>
      <c r="B4" s="53">
        <v>24</v>
      </c>
      <c r="C4" s="54">
        <v>7</v>
      </c>
      <c r="D4" s="51"/>
      <c r="E4" s="55" t="s">
        <v>1347</v>
      </c>
      <c r="F4" s="53">
        <v>32</v>
      </c>
      <c r="G4" s="54">
        <v>10</v>
      </c>
    </row>
    <row r="5" spans="1:7" ht="16.5" thickBot="1" x14ac:dyDescent="0.3">
      <c r="A5" s="52" t="s">
        <v>1348</v>
      </c>
      <c r="B5" s="53">
        <v>4</v>
      </c>
      <c r="C5" s="54">
        <v>1.5</v>
      </c>
      <c r="D5" s="51"/>
      <c r="E5" s="55" t="s">
        <v>1349</v>
      </c>
      <c r="F5" s="53">
        <v>0</v>
      </c>
      <c r="G5" s="54">
        <v>0</v>
      </c>
    </row>
    <row r="6" spans="1:7" ht="16.5" thickBot="1" x14ac:dyDescent="0.3">
      <c r="A6" s="56" t="s">
        <v>1350</v>
      </c>
      <c r="B6" s="57">
        <v>0</v>
      </c>
      <c r="C6" s="58">
        <v>0</v>
      </c>
      <c r="D6" s="51"/>
      <c r="E6" s="59" t="s">
        <v>1350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x14ac:dyDescent="0.25">
      <c r="A22" s="85" t="s">
        <v>149</v>
      </c>
      <c r="B22" s="86"/>
      <c r="C22" s="60"/>
      <c r="D22" s="61"/>
      <c r="E22" s="85" t="s">
        <v>150</v>
      </c>
      <c r="F22" s="86"/>
      <c r="G22" s="62" t="s">
        <v>1351</v>
      </c>
      <c r="H22" s="61"/>
      <c r="I22" s="85" t="s">
        <v>151</v>
      </c>
      <c r="J22" s="86"/>
      <c r="K22" s="81" t="s">
        <v>1351</v>
      </c>
    </row>
    <row r="23" spans="1:11" x14ac:dyDescent="0.25">
      <c r="A23" s="63" t="s">
        <v>152</v>
      </c>
      <c r="B23" s="64" t="s">
        <v>153</v>
      </c>
      <c r="C23" s="60"/>
      <c r="D23" s="65"/>
      <c r="E23" s="63" t="s">
        <v>152</v>
      </c>
      <c r="F23" s="64" t="s">
        <v>153</v>
      </c>
      <c r="G23" s="66" t="s">
        <v>154</v>
      </c>
      <c r="H23" s="65"/>
      <c r="I23" s="63" t="s">
        <v>152</v>
      </c>
      <c r="J23" s="64" t="s">
        <v>153</v>
      </c>
      <c r="K23" s="82" t="s">
        <v>154</v>
      </c>
    </row>
    <row r="24" spans="1:11" x14ac:dyDescent="0.25">
      <c r="A24" s="70" t="s">
        <v>883</v>
      </c>
      <c r="B24" s="71" t="s">
        <v>1354</v>
      </c>
      <c r="C24" s="60"/>
      <c r="D24" s="65"/>
      <c r="E24" s="70" t="s">
        <v>931</v>
      </c>
      <c r="F24" s="71" t="s">
        <v>1388</v>
      </c>
      <c r="G24" s="83" t="s">
        <v>157</v>
      </c>
      <c r="H24" s="65"/>
      <c r="I24" s="73" t="s">
        <v>903</v>
      </c>
      <c r="J24" s="74" t="s">
        <v>1387</v>
      </c>
      <c r="K24" s="77" t="s">
        <v>157</v>
      </c>
    </row>
    <row r="25" spans="1:11" ht="16.5" thickBot="1" x14ac:dyDescent="0.3">
      <c r="A25" s="72" t="s">
        <v>863</v>
      </c>
      <c r="B25" s="67" t="s">
        <v>1387</v>
      </c>
      <c r="E25" s="70" t="s">
        <v>895</v>
      </c>
      <c r="F25" s="71" t="s">
        <v>1354</v>
      </c>
      <c r="G25" s="83" t="s">
        <v>160</v>
      </c>
      <c r="I25" s="73" t="s">
        <v>923</v>
      </c>
      <c r="J25" s="74" t="s">
        <v>1388</v>
      </c>
      <c r="K25" s="77" t="s">
        <v>157</v>
      </c>
    </row>
    <row r="26" spans="1:11" ht="16.5" thickBot="1" x14ac:dyDescent="0.3">
      <c r="A26" s="60"/>
      <c r="B26" s="60"/>
      <c r="E26" s="72" t="s">
        <v>887</v>
      </c>
      <c r="F26" s="67" t="s">
        <v>1354</v>
      </c>
      <c r="G26" s="84" t="s">
        <v>157</v>
      </c>
      <c r="I26" s="73" t="s">
        <v>967</v>
      </c>
      <c r="J26" s="74" t="s">
        <v>1388</v>
      </c>
      <c r="K26" s="77" t="s">
        <v>157</v>
      </c>
    </row>
    <row r="27" spans="1:11" x14ac:dyDescent="0.25">
      <c r="A27" s="60"/>
      <c r="B27" s="60"/>
      <c r="I27" s="73" t="s">
        <v>971</v>
      </c>
      <c r="J27" s="74" t="s">
        <v>1354</v>
      </c>
      <c r="K27" s="77" t="s">
        <v>157</v>
      </c>
    </row>
    <row r="28" spans="1:11" x14ac:dyDescent="0.25">
      <c r="A28" s="60"/>
      <c r="B28" s="60"/>
      <c r="I28" s="73" t="s">
        <v>155</v>
      </c>
      <c r="J28" s="74" t="s">
        <v>1389</v>
      </c>
      <c r="K28" s="77" t="s">
        <v>157</v>
      </c>
    </row>
    <row r="29" spans="1:11" ht="16.5" thickBot="1" x14ac:dyDescent="0.3">
      <c r="I29" s="75" t="s">
        <v>811</v>
      </c>
      <c r="J29" s="76" t="s">
        <v>1388</v>
      </c>
      <c r="K29" s="78" t="s">
        <v>157</v>
      </c>
    </row>
  </sheetData>
  <mergeCells count="5">
    <mergeCell ref="I22:J22"/>
    <mergeCell ref="A1:C1"/>
    <mergeCell ref="E1:G1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H124" activePane="bottomRight" state="frozen"/>
      <selection pane="topRight" activeCell="H1" sqref="H1"/>
      <selection pane="bottomLeft" activeCell="A4" sqref="A4"/>
      <selection pane="bottomRight" activeCell="G144" sqref="G144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162</v>
      </c>
      <c r="B1" s="1" t="s">
        <v>162</v>
      </c>
      <c r="C1" s="1" t="s">
        <v>162</v>
      </c>
      <c r="D1" s="2" t="s">
        <v>162</v>
      </c>
      <c r="E1" s="2" t="s">
        <v>162</v>
      </c>
      <c r="F1" s="1" t="s">
        <v>162</v>
      </c>
      <c r="G1" s="1" t="s">
        <v>162</v>
      </c>
      <c r="H1" s="1" t="s">
        <v>162</v>
      </c>
      <c r="I1" s="1" t="s">
        <v>162</v>
      </c>
      <c r="J1" s="1" t="s">
        <v>162</v>
      </c>
      <c r="K1" s="1" t="s">
        <v>162</v>
      </c>
      <c r="L1" s="1" t="s">
        <v>162</v>
      </c>
      <c r="M1" s="1" t="s">
        <v>162</v>
      </c>
      <c r="N1" s="3"/>
      <c r="O1" s="1" t="s">
        <v>162</v>
      </c>
      <c r="P1" s="1" t="s">
        <v>162</v>
      </c>
      <c r="Q1" s="1" t="s">
        <v>162</v>
      </c>
      <c r="R1" s="1" t="s">
        <v>162</v>
      </c>
      <c r="S1" s="1" t="s">
        <v>162</v>
      </c>
      <c r="T1" s="1" t="s">
        <v>162</v>
      </c>
      <c r="U1" s="2" t="s">
        <v>162</v>
      </c>
      <c r="V1" s="2" t="s">
        <v>162</v>
      </c>
      <c r="W1" s="2" t="s">
        <v>162</v>
      </c>
      <c r="X1" s="2" t="s">
        <v>162</v>
      </c>
      <c r="Y1" s="2" t="s">
        <v>162</v>
      </c>
      <c r="Z1" s="2" t="s">
        <v>162</v>
      </c>
      <c r="AA1" s="1" t="s">
        <v>162</v>
      </c>
      <c r="AB1" s="2" t="s">
        <v>162</v>
      </c>
      <c r="AC1" s="2" t="s">
        <v>162</v>
      </c>
      <c r="AD1" s="4" t="s">
        <v>163</v>
      </c>
      <c r="AE1" s="4" t="s">
        <v>163</v>
      </c>
      <c r="AF1" s="4" t="s">
        <v>163</v>
      </c>
      <c r="AG1" s="4" t="s">
        <v>163</v>
      </c>
      <c r="AH1" s="5" t="s">
        <v>163</v>
      </c>
      <c r="AI1" s="5" t="s">
        <v>163</v>
      </c>
      <c r="AJ1" s="5" t="s">
        <v>163</v>
      </c>
      <c r="AK1" s="6" t="s">
        <v>163</v>
      </c>
      <c r="AL1" s="5" t="s">
        <v>163</v>
      </c>
      <c r="AM1" s="5" t="s">
        <v>163</v>
      </c>
      <c r="AN1" s="5" t="s">
        <v>163</v>
      </c>
      <c r="AO1" s="4" t="s">
        <v>163</v>
      </c>
      <c r="AP1" s="4" t="s">
        <v>163</v>
      </c>
      <c r="AQ1" s="4" t="s">
        <v>163</v>
      </c>
      <c r="AR1" s="7" t="s">
        <v>164</v>
      </c>
      <c r="AS1" s="7" t="s">
        <v>164</v>
      </c>
      <c r="AT1" s="2" t="s">
        <v>162</v>
      </c>
      <c r="AU1" s="1" t="s">
        <v>162</v>
      </c>
      <c r="AV1" s="1" t="s">
        <v>162</v>
      </c>
      <c r="AW1" s="1" t="s">
        <v>162</v>
      </c>
      <c r="AX1" s="4" t="s">
        <v>163</v>
      </c>
      <c r="AY1" s="5" t="s">
        <v>163</v>
      </c>
      <c r="AZ1" s="5" t="s">
        <v>163</v>
      </c>
      <c r="BA1" s="5" t="s">
        <v>163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187</v>
      </c>
      <c r="M2" s="10">
        <f t="shared" si="0"/>
        <v>187</v>
      </c>
      <c r="N2" s="10">
        <f t="shared" si="0"/>
        <v>258</v>
      </c>
      <c r="O2" s="10">
        <f t="shared" si="0"/>
        <v>188</v>
      </c>
      <c r="P2" s="10">
        <f t="shared" si="0"/>
        <v>188</v>
      </c>
      <c r="Q2" s="10">
        <f t="shared" si="0"/>
        <v>188</v>
      </c>
      <c r="R2" s="10">
        <f t="shared" si="0"/>
        <v>188</v>
      </c>
      <c r="S2" s="10">
        <f t="shared" si="0"/>
        <v>185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3809038.4</v>
      </c>
      <c r="AC2" s="12">
        <f t="shared" si="1"/>
        <v>2412673.0199999991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1.3306451612903225</v>
      </c>
      <c r="BE2" s="80">
        <f>AVERAGE(BE4:BE263)</f>
        <v>7.6597510373443987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2125339.14</v>
      </c>
    </row>
    <row r="3" spans="1:68" x14ac:dyDescent="0.25">
      <c r="A3" s="13" t="s">
        <v>165</v>
      </c>
      <c r="B3" s="13" t="s">
        <v>166</v>
      </c>
      <c r="C3" s="13" t="s">
        <v>167</v>
      </c>
      <c r="D3" s="14" t="s">
        <v>168</v>
      </c>
      <c r="E3" s="14" t="s">
        <v>169</v>
      </c>
      <c r="F3" s="15" t="s">
        <v>170</v>
      </c>
      <c r="G3" s="13" t="s">
        <v>171</v>
      </c>
      <c r="H3" s="13" t="s">
        <v>172</v>
      </c>
      <c r="I3" s="13" t="s">
        <v>173</v>
      </c>
      <c r="J3" s="13" t="s">
        <v>174</v>
      </c>
      <c r="K3" s="13" t="s">
        <v>175</v>
      </c>
      <c r="L3" s="16" t="s">
        <v>176</v>
      </c>
      <c r="M3" s="16" t="s">
        <v>177</v>
      </c>
      <c r="N3" s="16" t="s">
        <v>178</v>
      </c>
      <c r="O3" s="13" t="s">
        <v>179</v>
      </c>
      <c r="P3" s="13" t="s">
        <v>180</v>
      </c>
      <c r="Q3" s="13" t="s">
        <v>181</v>
      </c>
      <c r="R3" s="13" t="s">
        <v>182</v>
      </c>
      <c r="S3" s="13" t="s">
        <v>183</v>
      </c>
      <c r="T3" s="13" t="s">
        <v>184</v>
      </c>
      <c r="U3" s="17" t="s">
        <v>185</v>
      </c>
      <c r="V3" s="17" t="s">
        <v>186</v>
      </c>
      <c r="W3" s="17" t="s">
        <v>187</v>
      </c>
      <c r="X3" s="17" t="s">
        <v>188</v>
      </c>
      <c r="Y3" s="17" t="s">
        <v>189</v>
      </c>
      <c r="Z3" s="17" t="s">
        <v>190</v>
      </c>
      <c r="AA3" s="18" t="s">
        <v>191</v>
      </c>
      <c r="AB3" s="19" t="s">
        <v>192</v>
      </c>
      <c r="AC3" s="20" t="s">
        <v>193</v>
      </c>
      <c r="AD3" s="21" t="s">
        <v>194</v>
      </c>
      <c r="AE3" s="22" t="s">
        <v>195</v>
      </c>
      <c r="AF3" s="22" t="s">
        <v>196</v>
      </c>
      <c r="AG3" s="22" t="s">
        <v>197</v>
      </c>
      <c r="AH3" s="23" t="s">
        <v>198</v>
      </c>
      <c r="AI3" s="23" t="s">
        <v>199</v>
      </c>
      <c r="AJ3" s="23" t="s">
        <v>200</v>
      </c>
      <c r="AK3" s="24" t="s">
        <v>201</v>
      </c>
      <c r="AL3" s="25" t="s">
        <v>202</v>
      </c>
      <c r="AM3" s="25" t="s">
        <v>203</v>
      </c>
      <c r="AN3" s="25" t="s">
        <v>204</v>
      </c>
      <c r="AO3" s="25" t="s">
        <v>205</v>
      </c>
      <c r="AP3" s="17" t="s">
        <v>206</v>
      </c>
      <c r="AQ3" s="17" t="s">
        <v>207</v>
      </c>
      <c r="AR3" s="26" t="s">
        <v>208</v>
      </c>
      <c r="AS3" s="27" t="s">
        <v>209</v>
      </c>
      <c r="AT3" s="28" t="s">
        <v>210</v>
      </c>
      <c r="AU3" s="29" t="s">
        <v>211</v>
      </c>
      <c r="AV3" s="29" t="s">
        <v>212</v>
      </c>
      <c r="AW3" s="29" t="s">
        <v>213</v>
      </c>
      <c r="AX3" s="30" t="s">
        <v>214</v>
      </c>
      <c r="AY3" s="31" t="s">
        <v>215</v>
      </c>
      <c r="AZ3" s="32" t="s">
        <v>216</v>
      </c>
      <c r="BA3" s="33" t="s">
        <v>217</v>
      </c>
      <c r="BB3" s="34" t="s">
        <v>218</v>
      </c>
      <c r="BC3" s="10" t="s">
        <v>219</v>
      </c>
      <c r="BD3" s="10" t="s">
        <v>220</v>
      </c>
      <c r="BE3" s="10" t="s">
        <v>221</v>
      </c>
      <c r="BF3" s="10" t="s">
        <v>222</v>
      </c>
      <c r="BG3" s="10" t="s">
        <v>223</v>
      </c>
      <c r="BH3" s="35" t="s">
        <v>224</v>
      </c>
      <c r="BI3" s="36" t="s">
        <v>225</v>
      </c>
      <c r="BJ3" s="36" t="s">
        <v>226</v>
      </c>
      <c r="BK3" s="37" t="s">
        <v>227</v>
      </c>
      <c r="BL3" s="36" t="s">
        <v>228</v>
      </c>
      <c r="BM3" s="36" t="s">
        <v>229</v>
      </c>
      <c r="BN3" s="36" t="s">
        <v>230</v>
      </c>
      <c r="BO3" s="36" t="s">
        <v>231</v>
      </c>
    </row>
    <row r="4" spans="1:68" x14ac:dyDescent="0.25">
      <c r="A4" s="36">
        <v>29753</v>
      </c>
      <c r="B4" s="36" t="s">
        <v>232</v>
      </c>
      <c r="C4" s="36" t="s">
        <v>233</v>
      </c>
      <c r="D4" s="38">
        <v>14999.6</v>
      </c>
      <c r="E4" s="38">
        <v>18293</v>
      </c>
      <c r="F4" s="39">
        <v>46023</v>
      </c>
      <c r="G4" s="36" t="s">
        <v>118</v>
      </c>
      <c r="H4" s="36" t="s">
        <v>234</v>
      </c>
      <c r="I4" s="36" t="s">
        <v>235</v>
      </c>
      <c r="J4" s="36" t="s">
        <v>236</v>
      </c>
      <c r="K4" s="36" t="s">
        <v>237</v>
      </c>
      <c r="L4" s="40">
        <v>46041</v>
      </c>
      <c r="M4" s="40">
        <v>46041</v>
      </c>
      <c r="N4" s="41">
        <v>46041</v>
      </c>
      <c r="O4" s="36" t="s">
        <v>238</v>
      </c>
      <c r="P4" s="41" t="s">
        <v>239</v>
      </c>
      <c r="Q4" s="36" t="s">
        <v>240</v>
      </c>
      <c r="R4" s="36" t="s">
        <v>45</v>
      </c>
      <c r="S4" s="36" t="s">
        <v>160</v>
      </c>
      <c r="T4" s="36" t="s">
        <v>241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239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242</v>
      </c>
      <c r="AI4" s="38" t="s">
        <v>242</v>
      </c>
      <c r="AJ4" s="38" t="s">
        <v>242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239</v>
      </c>
      <c r="AX4" s="38">
        <v>0</v>
      </c>
      <c r="AY4" s="45">
        <v>0</v>
      </c>
      <c r="AZ4" s="46" t="s">
        <v>243</v>
      </c>
      <c r="BA4" s="47"/>
      <c r="BB4" s="36"/>
      <c r="BC4" s="36"/>
      <c r="BD4" s="36">
        <v>5</v>
      </c>
      <c r="BE4" s="36">
        <v>9</v>
      </c>
      <c r="BF4" s="36" t="s">
        <v>244</v>
      </c>
      <c r="BG4" s="36" t="s">
        <v>112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245</v>
      </c>
      <c r="C5" s="36" t="s">
        <v>246</v>
      </c>
      <c r="D5" s="38">
        <v>10631.2</v>
      </c>
      <c r="E5" s="38">
        <v>12966</v>
      </c>
      <c r="F5" s="39">
        <v>46023</v>
      </c>
      <c r="G5" s="36" t="s">
        <v>118</v>
      </c>
      <c r="H5" s="36" t="s">
        <v>234</v>
      </c>
      <c r="I5" s="36" t="s">
        <v>247</v>
      </c>
      <c r="J5" s="36" t="s">
        <v>236</v>
      </c>
      <c r="K5" s="36" t="s">
        <v>237</v>
      </c>
      <c r="L5" s="40">
        <v>46041</v>
      </c>
      <c r="M5" s="40">
        <v>46041</v>
      </c>
      <c r="N5" s="41">
        <v>46041</v>
      </c>
      <c r="O5" s="36" t="s">
        <v>248</v>
      </c>
      <c r="P5" s="41" t="s">
        <v>239</v>
      </c>
      <c r="Q5" s="36" t="s">
        <v>240</v>
      </c>
      <c r="R5" s="36" t="s">
        <v>45</v>
      </c>
      <c r="S5" s="36" t="s">
        <v>45</v>
      </c>
      <c r="T5" s="36" t="s">
        <v>241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242</v>
      </c>
      <c r="AI5" s="38" t="s">
        <v>242</v>
      </c>
      <c r="AJ5" s="38" t="s">
        <v>242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239</v>
      </c>
      <c r="AX5" s="38">
        <v>529</v>
      </c>
      <c r="AY5" s="45">
        <v>0</v>
      </c>
      <c r="AZ5" s="46" t="s">
        <v>243</v>
      </c>
      <c r="BA5" s="47"/>
      <c r="BB5" s="36"/>
      <c r="BC5" s="36"/>
      <c r="BD5" s="36">
        <v>3</v>
      </c>
      <c r="BE5" s="36">
        <v>9</v>
      </c>
      <c r="BF5" s="36" t="s">
        <v>244</v>
      </c>
      <c r="BG5" s="36" t="s">
        <v>112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249</v>
      </c>
      <c r="C6" s="36" t="s">
        <v>250</v>
      </c>
      <c r="D6" s="38">
        <v>11391.4</v>
      </c>
      <c r="E6" s="38">
        <v>13892</v>
      </c>
      <c r="F6" s="39">
        <v>46023</v>
      </c>
      <c r="G6" s="36" t="s">
        <v>118</v>
      </c>
      <c r="H6" s="36" t="s">
        <v>234</v>
      </c>
      <c r="I6" s="36" t="s">
        <v>251</v>
      </c>
      <c r="J6" s="36" t="s">
        <v>236</v>
      </c>
      <c r="K6" s="36" t="s">
        <v>237</v>
      </c>
      <c r="L6" s="40">
        <v>46039</v>
      </c>
      <c r="M6" s="40">
        <v>46039</v>
      </c>
      <c r="N6" s="41">
        <v>46039</v>
      </c>
      <c r="O6" s="36" t="s">
        <v>238</v>
      </c>
      <c r="P6" s="41" t="s">
        <v>239</v>
      </c>
      <c r="Q6" s="36" t="s">
        <v>240</v>
      </c>
      <c r="R6" s="36" t="s">
        <v>45</v>
      </c>
      <c r="S6" s="36" t="s">
        <v>160</v>
      </c>
      <c r="T6" s="36" t="s">
        <v>252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239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242</v>
      </c>
      <c r="AI6" s="38" t="s">
        <v>242</v>
      </c>
      <c r="AJ6" s="38" t="s">
        <v>242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239</v>
      </c>
      <c r="AX6" s="38">
        <v>0</v>
      </c>
      <c r="AY6" s="45">
        <v>0</v>
      </c>
      <c r="AZ6" s="46" t="s">
        <v>243</v>
      </c>
      <c r="BA6" s="47"/>
      <c r="BB6" s="36"/>
      <c r="BC6" s="36"/>
      <c r="BD6" s="36">
        <v>0</v>
      </c>
      <c r="BE6" s="36">
        <v>4</v>
      </c>
      <c r="BF6" s="36" t="s">
        <v>244</v>
      </c>
      <c r="BG6" s="36" t="s">
        <v>112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253</v>
      </c>
      <c r="C7" s="36" t="s">
        <v>254</v>
      </c>
      <c r="D7" s="38">
        <v>19812.400000000001</v>
      </c>
      <c r="E7" s="38">
        <v>24162</v>
      </c>
      <c r="F7" s="39">
        <v>46023</v>
      </c>
      <c r="G7" s="36" t="s">
        <v>118</v>
      </c>
      <c r="H7" s="36" t="s">
        <v>234</v>
      </c>
      <c r="I7" s="36" t="s">
        <v>255</v>
      </c>
      <c r="J7" s="36" t="s">
        <v>236</v>
      </c>
      <c r="K7" s="36" t="s">
        <v>237</v>
      </c>
      <c r="L7" s="40">
        <v>46038</v>
      </c>
      <c r="M7" s="40">
        <v>46038</v>
      </c>
      <c r="N7" s="41">
        <v>46038</v>
      </c>
      <c r="O7" s="36" t="s">
        <v>256</v>
      </c>
      <c r="P7" s="41" t="s">
        <v>257</v>
      </c>
      <c r="Q7" s="36" t="s">
        <v>258</v>
      </c>
      <c r="R7" s="36" t="s">
        <v>45</v>
      </c>
      <c r="S7" s="36" t="s">
        <v>160</v>
      </c>
      <c r="T7" s="36" t="s">
        <v>252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242</v>
      </c>
      <c r="AI7" s="38" t="s">
        <v>242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239</v>
      </c>
      <c r="AX7" s="38">
        <v>0</v>
      </c>
      <c r="AY7" s="45">
        <v>60</v>
      </c>
      <c r="AZ7" s="46" t="s">
        <v>243</v>
      </c>
      <c r="BA7" s="47"/>
      <c r="BB7" s="36"/>
      <c r="BC7" s="36"/>
      <c r="BD7" s="36">
        <v>1</v>
      </c>
      <c r="BE7" s="36">
        <v>27</v>
      </c>
      <c r="BF7" s="36" t="s">
        <v>244</v>
      </c>
      <c r="BG7" s="36" t="s">
        <v>112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259</v>
      </c>
      <c r="C8" s="36" t="s">
        <v>260</v>
      </c>
      <c r="D8" s="38">
        <v>20809.8</v>
      </c>
      <c r="E8" s="38">
        <v>25379</v>
      </c>
      <c r="F8" s="39">
        <v>46023</v>
      </c>
      <c r="G8" s="36" t="s">
        <v>118</v>
      </c>
      <c r="H8" s="36" t="s">
        <v>234</v>
      </c>
      <c r="I8" s="36" t="s">
        <v>261</v>
      </c>
      <c r="J8" s="36" t="s">
        <v>236</v>
      </c>
      <c r="K8" s="36" t="s">
        <v>237</v>
      </c>
      <c r="L8" s="40">
        <v>46041</v>
      </c>
      <c r="M8" s="40">
        <v>46041</v>
      </c>
      <c r="N8" s="41">
        <v>46041</v>
      </c>
      <c r="O8" s="36" t="s">
        <v>256</v>
      </c>
      <c r="P8" s="41" t="s">
        <v>257</v>
      </c>
      <c r="Q8" s="36" t="s">
        <v>258</v>
      </c>
      <c r="R8" s="36" t="s">
        <v>45</v>
      </c>
      <c r="S8" s="36" t="s">
        <v>160</v>
      </c>
      <c r="T8" s="36" t="s">
        <v>241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242</v>
      </c>
      <c r="AI8" s="38" t="s">
        <v>242</v>
      </c>
      <c r="AJ8" s="38" t="s">
        <v>242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239</v>
      </c>
      <c r="AX8" s="38">
        <v>0</v>
      </c>
      <c r="AY8" s="45">
        <v>0</v>
      </c>
      <c r="AZ8" s="46" t="s">
        <v>243</v>
      </c>
      <c r="BA8" s="47"/>
      <c r="BB8" s="36"/>
      <c r="BC8" s="36"/>
      <c r="BD8" s="36">
        <v>1</v>
      </c>
      <c r="BE8" s="36">
        <v>4</v>
      </c>
      <c r="BF8" s="36" t="s">
        <v>244</v>
      </c>
      <c r="BG8" s="36" t="s">
        <v>112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262</v>
      </c>
      <c r="C9" s="36" t="s">
        <v>263</v>
      </c>
      <c r="D9" s="38">
        <v>47237.74</v>
      </c>
      <c r="E9" s="38">
        <v>57607</v>
      </c>
      <c r="F9" s="39">
        <v>46023</v>
      </c>
      <c r="G9" s="36" t="s">
        <v>118</v>
      </c>
      <c r="H9" s="36" t="s">
        <v>264</v>
      </c>
      <c r="I9" s="36" t="s">
        <v>265</v>
      </c>
      <c r="J9" s="36" t="s">
        <v>236</v>
      </c>
      <c r="K9" s="36" t="s">
        <v>237</v>
      </c>
      <c r="L9" s="40">
        <v>46043</v>
      </c>
      <c r="M9" s="40">
        <v>46045</v>
      </c>
      <c r="N9" s="41">
        <v>46045</v>
      </c>
      <c r="O9" s="36" t="s">
        <v>256</v>
      </c>
      <c r="P9" s="41" t="s">
        <v>257</v>
      </c>
      <c r="Q9" s="36" t="s">
        <v>258</v>
      </c>
      <c r="R9" s="36" t="s">
        <v>45</v>
      </c>
      <c r="S9" s="36" t="s">
        <v>160</v>
      </c>
      <c r="T9" s="36" t="s">
        <v>241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239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242</v>
      </c>
      <c r="AI9" s="38" t="s">
        <v>242</v>
      </c>
      <c r="AJ9" s="38" t="s">
        <v>242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239</v>
      </c>
      <c r="AX9" s="38">
        <v>0</v>
      </c>
      <c r="AY9" s="45">
        <v>0</v>
      </c>
      <c r="AZ9" s="46" t="s">
        <v>243</v>
      </c>
      <c r="BA9" s="47"/>
      <c r="BB9" s="36"/>
      <c r="BC9" s="36"/>
      <c r="BD9" s="36">
        <v>18</v>
      </c>
      <c r="BE9" s="36">
        <v>23</v>
      </c>
      <c r="BF9" s="36" t="s">
        <v>244</v>
      </c>
      <c r="BG9" s="36" t="s">
        <v>112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266</v>
      </c>
      <c r="C10" s="36" t="s">
        <v>267</v>
      </c>
      <c r="D10" s="38">
        <v>15368.6</v>
      </c>
      <c r="E10" s="38">
        <v>18743</v>
      </c>
      <c r="F10" s="39">
        <v>46023</v>
      </c>
      <c r="G10" s="36" t="s">
        <v>118</v>
      </c>
      <c r="H10" s="36" t="s">
        <v>234</v>
      </c>
      <c r="I10" s="36" t="s">
        <v>268</v>
      </c>
      <c r="J10" s="36" t="s">
        <v>236</v>
      </c>
      <c r="K10" s="36" t="s">
        <v>237</v>
      </c>
      <c r="L10" s="40">
        <v>46044</v>
      </c>
      <c r="M10" s="40">
        <v>46044</v>
      </c>
      <c r="N10" s="41">
        <v>46044</v>
      </c>
      <c r="O10" s="36" t="s">
        <v>256</v>
      </c>
      <c r="P10" s="41" t="s">
        <v>257</v>
      </c>
      <c r="Q10" s="36" t="s">
        <v>258</v>
      </c>
      <c r="R10" s="36" t="s">
        <v>45</v>
      </c>
      <c r="S10" s="36" t="s">
        <v>160</v>
      </c>
      <c r="T10" s="36" t="s">
        <v>241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239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242</v>
      </c>
      <c r="AI10" s="38" t="s">
        <v>242</v>
      </c>
      <c r="AJ10" s="38" t="s">
        <v>242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239</v>
      </c>
      <c r="AX10" s="38">
        <v>0</v>
      </c>
      <c r="AY10" s="45">
        <v>0</v>
      </c>
      <c r="AZ10" s="46" t="s">
        <v>243</v>
      </c>
      <c r="BA10" s="47"/>
      <c r="BB10" s="36"/>
      <c r="BC10" s="36"/>
      <c r="BD10" s="36">
        <v>0</v>
      </c>
      <c r="BE10" s="36">
        <v>4</v>
      </c>
      <c r="BF10" s="36" t="s">
        <v>244</v>
      </c>
      <c r="BG10" s="36" t="s">
        <v>112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269</v>
      </c>
      <c r="C11" s="36" t="s">
        <v>270</v>
      </c>
      <c r="D11" s="38">
        <v>22933.8</v>
      </c>
      <c r="E11" s="38">
        <v>27969</v>
      </c>
      <c r="F11" s="39">
        <v>46023</v>
      </c>
      <c r="G11" s="36" t="s">
        <v>118</v>
      </c>
      <c r="H11" s="36" t="s">
        <v>234</v>
      </c>
      <c r="I11" s="36" t="s">
        <v>271</v>
      </c>
      <c r="J11" s="36" t="s">
        <v>236</v>
      </c>
      <c r="K11" s="36" t="s">
        <v>237</v>
      </c>
      <c r="L11" s="40">
        <v>46047</v>
      </c>
      <c r="M11" s="40">
        <v>46048</v>
      </c>
      <c r="N11" s="41">
        <v>46048</v>
      </c>
      <c r="O11" s="36" t="s">
        <v>256</v>
      </c>
      <c r="P11" s="41" t="s">
        <v>257</v>
      </c>
      <c r="Q11" s="36" t="s">
        <v>258</v>
      </c>
      <c r="R11" s="36" t="s">
        <v>45</v>
      </c>
      <c r="S11" s="36" t="s">
        <v>160</v>
      </c>
      <c r="T11" s="36" t="s">
        <v>272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242</v>
      </c>
      <c r="AI11" s="38" t="s">
        <v>242</v>
      </c>
      <c r="AJ11" s="38" t="s">
        <v>242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239</v>
      </c>
      <c r="AX11" s="38">
        <v>0</v>
      </c>
      <c r="AY11" s="45">
        <v>0</v>
      </c>
      <c r="AZ11" s="46" t="s">
        <v>243</v>
      </c>
      <c r="BA11" s="47"/>
      <c r="BB11" s="36"/>
      <c r="BC11" s="36"/>
      <c r="BD11" s="36">
        <v>3</v>
      </c>
      <c r="BE11" s="36">
        <v>9</v>
      </c>
      <c r="BF11" s="36" t="s">
        <v>244</v>
      </c>
      <c r="BG11" s="36" t="s">
        <v>112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273</v>
      </c>
      <c r="C12" s="36" t="s">
        <v>274</v>
      </c>
      <c r="D12" s="38">
        <v>12961.6</v>
      </c>
      <c r="E12" s="38">
        <v>15808</v>
      </c>
      <c r="F12" s="39">
        <v>46023</v>
      </c>
      <c r="G12" s="36" t="s">
        <v>118</v>
      </c>
      <c r="H12" s="36" t="s">
        <v>234</v>
      </c>
      <c r="I12" s="36" t="s">
        <v>275</v>
      </c>
      <c r="J12" s="36" t="s">
        <v>236</v>
      </c>
      <c r="K12" s="36" t="s">
        <v>237</v>
      </c>
      <c r="L12" s="40">
        <v>46048</v>
      </c>
      <c r="M12" s="40">
        <v>46048</v>
      </c>
      <c r="N12" s="41">
        <v>46048</v>
      </c>
      <c r="O12" s="36" t="s">
        <v>238</v>
      </c>
      <c r="P12" s="41" t="s">
        <v>239</v>
      </c>
      <c r="Q12" s="36" t="s">
        <v>240</v>
      </c>
      <c r="R12" s="36" t="s">
        <v>45</v>
      </c>
      <c r="S12" s="36" t="s">
        <v>160</v>
      </c>
      <c r="T12" s="36" t="s">
        <v>272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239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242</v>
      </c>
      <c r="AI12" s="38" t="s">
        <v>242</v>
      </c>
      <c r="AJ12" s="38" t="s">
        <v>242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239</v>
      </c>
      <c r="AX12" s="38">
        <v>0</v>
      </c>
      <c r="AY12" s="45">
        <v>0</v>
      </c>
      <c r="AZ12" s="46" t="s">
        <v>243</v>
      </c>
      <c r="BA12" s="47"/>
      <c r="BB12" s="36"/>
      <c r="BC12" s="36"/>
      <c r="BD12" s="36">
        <v>9</v>
      </c>
      <c r="BE12" s="36">
        <v>12</v>
      </c>
      <c r="BF12" s="36" t="s">
        <v>244</v>
      </c>
      <c r="BG12" s="36" t="s">
        <v>112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276</v>
      </c>
      <c r="C13" s="36" t="s">
        <v>277</v>
      </c>
      <c r="D13" s="38">
        <v>15802.2</v>
      </c>
      <c r="E13" s="38">
        <v>19271</v>
      </c>
      <c r="F13" s="39">
        <v>46023</v>
      </c>
      <c r="G13" s="36" t="s">
        <v>118</v>
      </c>
      <c r="H13" s="36" t="s">
        <v>234</v>
      </c>
      <c r="I13" s="36" t="s">
        <v>278</v>
      </c>
      <c r="J13" s="36" t="s">
        <v>236</v>
      </c>
      <c r="K13" s="36" t="s">
        <v>237</v>
      </c>
      <c r="L13" s="40">
        <v>46046</v>
      </c>
      <c r="M13" s="40">
        <v>46046</v>
      </c>
      <c r="N13" s="41">
        <v>46046</v>
      </c>
      <c r="O13" s="36" t="s">
        <v>248</v>
      </c>
      <c r="P13" s="41" t="s">
        <v>239</v>
      </c>
      <c r="Q13" s="36" t="s">
        <v>240</v>
      </c>
      <c r="R13" s="36" t="s">
        <v>45</v>
      </c>
      <c r="S13" s="36" t="s">
        <v>160</v>
      </c>
      <c r="T13" s="36" t="s">
        <v>241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242</v>
      </c>
      <c r="AI13" s="38" t="s">
        <v>242</v>
      </c>
      <c r="AJ13" s="38" t="s">
        <v>242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239</v>
      </c>
      <c r="AX13" s="38">
        <v>0</v>
      </c>
      <c r="AY13" s="45">
        <v>0</v>
      </c>
      <c r="AZ13" s="46" t="s">
        <v>243</v>
      </c>
      <c r="BA13" s="47"/>
      <c r="BB13" s="36"/>
      <c r="BC13" s="36"/>
      <c r="BD13" s="36">
        <v>10</v>
      </c>
      <c r="BE13" s="36">
        <v>17</v>
      </c>
      <c r="BF13" s="36" t="s">
        <v>244</v>
      </c>
      <c r="BG13" s="36" t="s">
        <v>112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279</v>
      </c>
      <c r="C14" s="36" t="s">
        <v>280</v>
      </c>
      <c r="D14" s="38">
        <v>20810.8</v>
      </c>
      <c r="E14" s="38">
        <v>25379</v>
      </c>
      <c r="F14" s="39">
        <v>46023</v>
      </c>
      <c r="G14" s="36" t="s">
        <v>118</v>
      </c>
      <c r="H14" s="36" t="s">
        <v>234</v>
      </c>
      <c r="I14" s="36" t="s">
        <v>281</v>
      </c>
      <c r="J14" s="36" t="s">
        <v>236</v>
      </c>
      <c r="K14" s="36" t="s">
        <v>237</v>
      </c>
      <c r="L14" s="40">
        <v>46046</v>
      </c>
      <c r="M14" s="40">
        <v>46046</v>
      </c>
      <c r="N14" s="41">
        <v>46046</v>
      </c>
      <c r="O14" s="36" t="s">
        <v>256</v>
      </c>
      <c r="P14" s="41" t="s">
        <v>257</v>
      </c>
      <c r="Q14" s="36" t="s">
        <v>258</v>
      </c>
      <c r="R14" s="36" t="s">
        <v>45</v>
      </c>
      <c r="S14" s="36" t="s">
        <v>160</v>
      </c>
      <c r="T14" s="36" t="s">
        <v>241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239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242</v>
      </c>
      <c r="AI14" s="38" t="s">
        <v>242</v>
      </c>
      <c r="AJ14" s="38" t="s">
        <v>242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239</v>
      </c>
      <c r="AX14" s="38">
        <v>0</v>
      </c>
      <c r="AY14" s="45">
        <v>0</v>
      </c>
      <c r="AZ14" s="46" t="s">
        <v>243</v>
      </c>
      <c r="BA14" s="47"/>
      <c r="BB14" s="36"/>
      <c r="BC14" s="36"/>
      <c r="BD14" s="36">
        <v>1</v>
      </c>
      <c r="BE14" s="36">
        <v>2</v>
      </c>
      <c r="BF14" s="36" t="s">
        <v>244</v>
      </c>
      <c r="BG14" s="36" t="s">
        <v>112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282</v>
      </c>
      <c r="C15" s="36" t="s">
        <v>283</v>
      </c>
      <c r="D15" s="38">
        <v>23694.2</v>
      </c>
      <c r="E15" s="38">
        <v>28896</v>
      </c>
      <c r="F15" s="39">
        <v>46023</v>
      </c>
      <c r="G15" s="36" t="s">
        <v>118</v>
      </c>
      <c r="H15" s="36" t="s">
        <v>234</v>
      </c>
      <c r="I15" s="36" t="s">
        <v>284</v>
      </c>
      <c r="J15" s="36" t="s">
        <v>236</v>
      </c>
      <c r="K15" s="36" t="s">
        <v>237</v>
      </c>
      <c r="L15" s="40">
        <v>46044</v>
      </c>
      <c r="M15" s="40">
        <v>46044</v>
      </c>
      <c r="N15" s="41">
        <v>46044</v>
      </c>
      <c r="O15" s="36" t="s">
        <v>238</v>
      </c>
      <c r="P15" s="41" t="s">
        <v>239</v>
      </c>
      <c r="Q15" s="36" t="s">
        <v>240</v>
      </c>
      <c r="R15" s="36" t="s">
        <v>45</v>
      </c>
      <c r="S15" s="36" t="s">
        <v>160</v>
      </c>
      <c r="T15" s="36" t="s">
        <v>241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239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242</v>
      </c>
      <c r="AI15" s="38" t="s">
        <v>242</v>
      </c>
      <c r="AJ15" s="38" t="s">
        <v>242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239</v>
      </c>
      <c r="AX15" s="38">
        <v>0</v>
      </c>
      <c r="AY15" s="45">
        <v>0</v>
      </c>
      <c r="AZ15" s="46" t="s">
        <v>243</v>
      </c>
      <c r="BA15" s="47"/>
      <c r="BB15" s="36"/>
      <c r="BC15" s="36"/>
      <c r="BD15" s="36">
        <v>0</v>
      </c>
      <c r="BE15" s="36">
        <v>2</v>
      </c>
      <c r="BF15" s="36" t="s">
        <v>244</v>
      </c>
      <c r="BG15" s="36" t="s">
        <v>112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285</v>
      </c>
      <c r="C16" s="36" t="s">
        <v>286</v>
      </c>
      <c r="D16" s="38">
        <v>11607.2</v>
      </c>
      <c r="E16" s="38">
        <v>14156</v>
      </c>
      <c r="F16" s="39">
        <v>46023</v>
      </c>
      <c r="G16" s="36" t="s">
        <v>118</v>
      </c>
      <c r="H16" s="36" t="s">
        <v>234</v>
      </c>
      <c r="I16" s="36" t="s">
        <v>287</v>
      </c>
      <c r="J16" s="36" t="s">
        <v>236</v>
      </c>
      <c r="K16" s="36" t="s">
        <v>237</v>
      </c>
      <c r="L16" s="40">
        <v>46044</v>
      </c>
      <c r="M16" s="40">
        <v>46044</v>
      </c>
      <c r="N16" s="41">
        <v>46044</v>
      </c>
      <c r="O16" s="36" t="s">
        <v>248</v>
      </c>
      <c r="P16" s="41" t="s">
        <v>239</v>
      </c>
      <c r="Q16" s="36" t="s">
        <v>240</v>
      </c>
      <c r="R16" s="36" t="s">
        <v>45</v>
      </c>
      <c r="S16" s="36" t="s">
        <v>160</v>
      </c>
      <c r="T16" s="36" t="s">
        <v>241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242</v>
      </c>
      <c r="AI16" s="38" t="s">
        <v>242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239</v>
      </c>
      <c r="AX16" s="38">
        <v>0</v>
      </c>
      <c r="AY16" s="45">
        <v>60</v>
      </c>
      <c r="AZ16" s="46" t="s">
        <v>243</v>
      </c>
      <c r="BA16" s="47"/>
      <c r="BB16" s="36"/>
      <c r="BC16" s="36"/>
      <c r="BD16" s="36">
        <v>0</v>
      </c>
      <c r="BE16" s="36">
        <v>1</v>
      </c>
      <c r="BF16" s="36" t="s">
        <v>244</v>
      </c>
      <c r="BG16" s="36" t="s">
        <v>112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288</v>
      </c>
      <c r="C17" s="36" t="s">
        <v>289</v>
      </c>
      <c r="D17" s="38">
        <v>20744.8</v>
      </c>
      <c r="E17" s="38">
        <v>25299</v>
      </c>
      <c r="F17" s="39">
        <v>46023</v>
      </c>
      <c r="G17" s="36" t="s">
        <v>118</v>
      </c>
      <c r="H17" s="36" t="s">
        <v>234</v>
      </c>
      <c r="I17" s="36" t="s">
        <v>290</v>
      </c>
      <c r="J17" s="36" t="s">
        <v>236</v>
      </c>
      <c r="K17" s="36" t="s">
        <v>237</v>
      </c>
      <c r="L17" s="40">
        <v>46053</v>
      </c>
      <c r="M17" s="40">
        <v>46053</v>
      </c>
      <c r="N17" s="41">
        <v>46053</v>
      </c>
      <c r="O17" s="36" t="s">
        <v>238</v>
      </c>
      <c r="P17" s="41" t="s">
        <v>239</v>
      </c>
      <c r="Q17" s="36" t="s">
        <v>240</v>
      </c>
      <c r="R17" s="36" t="s">
        <v>45</v>
      </c>
      <c r="S17" s="36" t="s">
        <v>160</v>
      </c>
      <c r="T17" s="36" t="s">
        <v>272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242</v>
      </c>
      <c r="AI17" s="38" t="s">
        <v>242</v>
      </c>
      <c r="AJ17" s="38" t="s">
        <v>242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239</v>
      </c>
      <c r="AX17" s="38">
        <v>0</v>
      </c>
      <c r="AY17" s="45">
        <v>0</v>
      </c>
      <c r="AZ17" s="46" t="s">
        <v>243</v>
      </c>
      <c r="BA17" s="47"/>
      <c r="BB17" s="36"/>
      <c r="BC17" s="36"/>
      <c r="BD17" s="36">
        <v>10</v>
      </c>
      <c r="BE17" s="36">
        <v>19</v>
      </c>
      <c r="BF17" s="36" t="s">
        <v>244</v>
      </c>
      <c r="BG17" s="36" t="s">
        <v>112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291</v>
      </c>
      <c r="C18" s="36" t="s">
        <v>292</v>
      </c>
      <c r="D18" s="38">
        <v>19184.2</v>
      </c>
      <c r="E18" s="38">
        <v>23396</v>
      </c>
      <c r="F18" s="39">
        <v>46023</v>
      </c>
      <c r="G18" s="36" t="s">
        <v>118</v>
      </c>
      <c r="H18" s="36" t="s">
        <v>234</v>
      </c>
      <c r="I18" s="36" t="s">
        <v>293</v>
      </c>
      <c r="J18" s="36" t="s">
        <v>236</v>
      </c>
      <c r="K18" s="36" t="s">
        <v>237</v>
      </c>
      <c r="L18" s="40">
        <v>46055</v>
      </c>
      <c r="M18" s="40">
        <v>46055</v>
      </c>
      <c r="N18" s="41">
        <v>46055</v>
      </c>
      <c r="O18" s="36" t="s">
        <v>256</v>
      </c>
      <c r="P18" s="41" t="s">
        <v>257</v>
      </c>
      <c r="Q18" s="36" t="s">
        <v>258</v>
      </c>
      <c r="R18" s="36" t="s">
        <v>45</v>
      </c>
      <c r="S18" s="36" t="s">
        <v>160</v>
      </c>
      <c r="T18" s="36" t="s">
        <v>294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239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242</v>
      </c>
      <c r="AI18" s="38" t="s">
        <v>242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239</v>
      </c>
      <c r="AX18" s="38">
        <v>0</v>
      </c>
      <c r="AY18" s="45">
        <v>60</v>
      </c>
      <c r="AZ18" s="46" t="s">
        <v>243</v>
      </c>
      <c r="BA18" s="47"/>
      <c r="BB18" s="36"/>
      <c r="BC18" s="36"/>
      <c r="BD18" s="36">
        <v>2</v>
      </c>
      <c r="BE18" s="36">
        <v>10</v>
      </c>
      <c r="BF18" s="36" t="s">
        <v>244</v>
      </c>
      <c r="BG18" s="36" t="s">
        <v>112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295</v>
      </c>
      <c r="B19" s="36" t="s">
        <v>296</v>
      </c>
      <c r="C19" s="36" t="s">
        <v>297</v>
      </c>
      <c r="D19" s="38">
        <v>22252.34</v>
      </c>
      <c r="E19" s="38">
        <v>27137</v>
      </c>
      <c r="F19" s="39">
        <v>46023</v>
      </c>
      <c r="G19" s="36" t="s">
        <v>118</v>
      </c>
      <c r="H19" s="36" t="s">
        <v>298</v>
      </c>
      <c r="I19" s="36" t="s">
        <v>299</v>
      </c>
      <c r="J19" s="36" t="s">
        <v>236</v>
      </c>
      <c r="K19" s="36" t="s">
        <v>237</v>
      </c>
      <c r="L19" s="40">
        <v>46049</v>
      </c>
      <c r="M19" s="40">
        <v>46053</v>
      </c>
      <c r="N19" s="41">
        <v>46053</v>
      </c>
      <c r="O19" s="36" t="s">
        <v>248</v>
      </c>
      <c r="P19" s="41" t="s">
        <v>239</v>
      </c>
      <c r="Q19" s="36" t="s">
        <v>240</v>
      </c>
      <c r="R19" s="36" t="s">
        <v>45</v>
      </c>
      <c r="S19" s="36" t="s">
        <v>160</v>
      </c>
      <c r="T19" s="36" t="s">
        <v>272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242</v>
      </c>
      <c r="AI19" s="38" t="s">
        <v>242</v>
      </c>
      <c r="AJ19" s="38" t="s">
        <v>242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239</v>
      </c>
      <c r="AX19" s="38">
        <v>24825</v>
      </c>
      <c r="AY19" s="45">
        <v>0</v>
      </c>
      <c r="AZ19" s="46" t="s">
        <v>243</v>
      </c>
      <c r="BA19" s="47"/>
      <c r="BB19" s="36"/>
      <c r="BC19" s="36"/>
      <c r="BD19" s="36">
        <v>6</v>
      </c>
      <c r="BE19" s="36">
        <v>10</v>
      </c>
      <c r="BF19" s="36" t="s">
        <v>244</v>
      </c>
      <c r="BG19" s="36" t="s">
        <v>112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300</v>
      </c>
      <c r="B20" s="36" t="s">
        <v>301</v>
      </c>
      <c r="C20" s="36" t="s">
        <v>302</v>
      </c>
      <c r="D20" s="38">
        <v>1687.29</v>
      </c>
      <c r="E20" s="38">
        <v>2081</v>
      </c>
      <c r="F20" s="39">
        <v>46054</v>
      </c>
      <c r="G20" s="36" t="s">
        <v>111</v>
      </c>
      <c r="H20" s="36" t="s">
        <v>303</v>
      </c>
      <c r="I20" s="36" t="s">
        <v>304</v>
      </c>
      <c r="J20" s="36" t="s">
        <v>236</v>
      </c>
      <c r="K20" s="36" t="s">
        <v>237</v>
      </c>
      <c r="L20" s="40">
        <v>46051</v>
      </c>
      <c r="M20" s="40">
        <v>46051</v>
      </c>
      <c r="N20" s="41">
        <v>46051</v>
      </c>
      <c r="O20" s="36" t="s">
        <v>305</v>
      </c>
      <c r="P20" s="41" t="s">
        <v>306</v>
      </c>
      <c r="Q20" s="36" t="s">
        <v>258</v>
      </c>
      <c r="R20" s="36" t="s">
        <v>45</v>
      </c>
      <c r="S20" s="36" t="s">
        <v>307</v>
      </c>
      <c r="T20" s="36" t="s">
        <v>272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239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242</v>
      </c>
      <c r="AI20" s="38" t="s">
        <v>242</v>
      </c>
      <c r="AJ20" s="38" t="s">
        <v>242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239</v>
      </c>
      <c r="AX20" s="38">
        <v>394</v>
      </c>
      <c r="AY20" s="45">
        <v>0</v>
      </c>
      <c r="AZ20" s="46" t="s">
        <v>243</v>
      </c>
      <c r="BA20" s="47"/>
      <c r="BB20" s="36"/>
      <c r="BC20" s="36"/>
      <c r="BD20" s="36">
        <v>0</v>
      </c>
      <c r="BE20" s="36">
        <v>14</v>
      </c>
      <c r="BF20" s="36" t="s">
        <v>244</v>
      </c>
      <c r="BG20" s="36" t="s">
        <v>114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308</v>
      </c>
      <c r="B21" s="36" t="s">
        <v>309</v>
      </c>
      <c r="C21" s="36" t="s">
        <v>310</v>
      </c>
      <c r="D21" s="38">
        <v>1687.29</v>
      </c>
      <c r="E21" s="38">
        <v>2081</v>
      </c>
      <c r="F21" s="39">
        <v>46054</v>
      </c>
      <c r="G21" s="36" t="s">
        <v>111</v>
      </c>
      <c r="H21" s="36" t="s">
        <v>303</v>
      </c>
      <c r="I21" s="36" t="s">
        <v>311</v>
      </c>
      <c r="J21" s="36" t="s">
        <v>236</v>
      </c>
      <c r="K21" s="36" t="s">
        <v>237</v>
      </c>
      <c r="L21" s="40">
        <v>46051</v>
      </c>
      <c r="M21" s="40">
        <v>46051</v>
      </c>
      <c r="N21" s="41">
        <v>46051</v>
      </c>
      <c r="O21" s="36" t="s">
        <v>305</v>
      </c>
      <c r="P21" s="41" t="s">
        <v>306</v>
      </c>
      <c r="Q21" s="36" t="s">
        <v>258</v>
      </c>
      <c r="R21" s="36" t="s">
        <v>45</v>
      </c>
      <c r="S21" s="36" t="s">
        <v>307</v>
      </c>
      <c r="T21" s="36" t="s">
        <v>272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239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242</v>
      </c>
      <c r="AI21" s="38" t="s">
        <v>242</v>
      </c>
      <c r="AJ21" s="38" t="s">
        <v>242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239</v>
      </c>
      <c r="AX21" s="38">
        <v>394</v>
      </c>
      <c r="AY21" s="45">
        <v>0</v>
      </c>
      <c r="AZ21" s="46" t="s">
        <v>243</v>
      </c>
      <c r="BA21" s="47"/>
      <c r="BB21" s="36"/>
      <c r="BC21" s="36"/>
      <c r="BD21" s="36">
        <v>0</v>
      </c>
      <c r="BE21" s="36">
        <v>22</v>
      </c>
      <c r="BF21" s="36" t="s">
        <v>244</v>
      </c>
      <c r="BG21" s="36" t="s">
        <v>114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312</v>
      </c>
      <c r="B22" s="36" t="s">
        <v>313</v>
      </c>
      <c r="C22" s="36" t="s">
        <v>314</v>
      </c>
      <c r="D22" s="38">
        <v>1687.29</v>
      </c>
      <c r="E22" s="38">
        <v>2081</v>
      </c>
      <c r="F22" s="39">
        <v>46054</v>
      </c>
      <c r="G22" s="36" t="s">
        <v>111</v>
      </c>
      <c r="H22" s="36" t="s">
        <v>303</v>
      </c>
      <c r="I22" s="36" t="s">
        <v>315</v>
      </c>
      <c r="J22" s="36" t="s">
        <v>236</v>
      </c>
      <c r="K22" s="36" t="s">
        <v>237</v>
      </c>
      <c r="L22" s="40">
        <v>46051</v>
      </c>
      <c r="M22" s="40">
        <v>46051</v>
      </c>
      <c r="N22" s="41">
        <v>46051</v>
      </c>
      <c r="O22" s="36" t="s">
        <v>305</v>
      </c>
      <c r="P22" s="41" t="s">
        <v>306</v>
      </c>
      <c r="Q22" s="36" t="s">
        <v>258</v>
      </c>
      <c r="R22" s="36" t="s">
        <v>45</v>
      </c>
      <c r="S22" s="36" t="s">
        <v>307</v>
      </c>
      <c r="T22" s="36" t="s">
        <v>272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239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242</v>
      </c>
      <c r="AI22" s="38" t="s">
        <v>242</v>
      </c>
      <c r="AJ22" s="38" t="s">
        <v>242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239</v>
      </c>
      <c r="AX22" s="38">
        <v>394</v>
      </c>
      <c r="AY22" s="45">
        <v>0</v>
      </c>
      <c r="AZ22" s="46" t="s">
        <v>243</v>
      </c>
      <c r="BA22" s="47"/>
      <c r="BB22" s="36"/>
      <c r="BC22" s="36"/>
      <c r="BD22" s="36">
        <v>20</v>
      </c>
      <c r="BE22" s="36">
        <v>22</v>
      </c>
      <c r="BF22" s="36" t="s">
        <v>244</v>
      </c>
      <c r="BG22" s="36" t="s">
        <v>114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316</v>
      </c>
      <c r="B23" s="36" t="s">
        <v>317</v>
      </c>
      <c r="C23" s="36" t="s">
        <v>318</v>
      </c>
      <c r="D23" s="38">
        <v>1687.29</v>
      </c>
      <c r="E23" s="38">
        <v>2081</v>
      </c>
      <c r="F23" s="39">
        <v>46054</v>
      </c>
      <c r="G23" s="36" t="s">
        <v>111</v>
      </c>
      <c r="H23" s="36" t="s">
        <v>303</v>
      </c>
      <c r="I23" s="36" t="s">
        <v>319</v>
      </c>
      <c r="J23" s="36" t="s">
        <v>236</v>
      </c>
      <c r="K23" s="36" t="s">
        <v>237</v>
      </c>
      <c r="L23" s="40">
        <v>46052</v>
      </c>
      <c r="M23" s="40">
        <v>46052</v>
      </c>
      <c r="N23" s="41">
        <v>46052</v>
      </c>
      <c r="O23" s="36" t="s">
        <v>305</v>
      </c>
      <c r="P23" s="41" t="s">
        <v>306</v>
      </c>
      <c r="Q23" s="36" t="s">
        <v>258</v>
      </c>
      <c r="R23" s="36" t="s">
        <v>45</v>
      </c>
      <c r="S23" s="36" t="s">
        <v>307</v>
      </c>
      <c r="T23" s="36" t="s">
        <v>272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239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242</v>
      </c>
      <c r="AI23" s="38" t="s">
        <v>242</v>
      </c>
      <c r="AJ23" s="38" t="s">
        <v>242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239</v>
      </c>
      <c r="AX23" s="38">
        <v>394</v>
      </c>
      <c r="AY23" s="45">
        <v>0</v>
      </c>
      <c r="AZ23" s="46" t="s">
        <v>243</v>
      </c>
      <c r="BA23" s="47"/>
      <c r="BB23" s="36"/>
      <c r="BC23" s="36"/>
      <c r="BD23" s="36">
        <v>0</v>
      </c>
      <c r="BE23" s="36">
        <v>13</v>
      </c>
      <c r="BF23" s="36" t="s">
        <v>244</v>
      </c>
      <c r="BG23" s="36" t="s">
        <v>114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320</v>
      </c>
      <c r="B24" s="36" t="s">
        <v>321</v>
      </c>
      <c r="C24" s="36" t="s">
        <v>322</v>
      </c>
      <c r="D24" s="38">
        <v>2736.06</v>
      </c>
      <c r="E24" s="38">
        <v>7468</v>
      </c>
      <c r="F24" s="39">
        <v>46054</v>
      </c>
      <c r="G24" s="36" t="s">
        <v>111</v>
      </c>
      <c r="H24" s="36" t="s">
        <v>323</v>
      </c>
      <c r="I24" s="36" t="s">
        <v>324</v>
      </c>
      <c r="J24" s="36" t="s">
        <v>236</v>
      </c>
      <c r="K24" s="36" t="s">
        <v>237</v>
      </c>
      <c r="L24" s="40">
        <v>46052</v>
      </c>
      <c r="M24" s="40">
        <v>46052</v>
      </c>
      <c r="N24" s="41">
        <v>46052</v>
      </c>
      <c r="O24" s="36" t="s">
        <v>325</v>
      </c>
      <c r="P24" s="41" t="s">
        <v>326</v>
      </c>
      <c r="Q24" s="36" t="s">
        <v>258</v>
      </c>
      <c r="R24" s="36" t="s">
        <v>45</v>
      </c>
      <c r="S24" s="36" t="s">
        <v>307</v>
      </c>
      <c r="T24" s="36" t="s">
        <v>272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239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242</v>
      </c>
      <c r="AI24" s="38" t="s">
        <v>242</v>
      </c>
      <c r="AJ24" s="38" t="s">
        <v>242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239</v>
      </c>
      <c r="AX24" s="38">
        <v>472.79999999999973</v>
      </c>
      <c r="AY24" s="45">
        <v>446</v>
      </c>
      <c r="AZ24" s="46" t="s">
        <v>243</v>
      </c>
      <c r="BA24" s="47"/>
      <c r="BB24" s="36"/>
      <c r="BC24" s="36"/>
      <c r="BD24" s="36">
        <v>0</v>
      </c>
      <c r="BE24" s="36">
        <v>110</v>
      </c>
      <c r="BF24" s="36" t="s">
        <v>244</v>
      </c>
      <c r="BG24" s="36" t="s">
        <v>114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327</v>
      </c>
      <c r="B25" s="36" t="s">
        <v>328</v>
      </c>
      <c r="C25" s="36" t="s">
        <v>329</v>
      </c>
      <c r="D25" s="38">
        <v>2736.06</v>
      </c>
      <c r="E25" s="38">
        <v>3734</v>
      </c>
      <c r="F25" s="39">
        <v>46054</v>
      </c>
      <c r="G25" s="36" t="s">
        <v>111</v>
      </c>
      <c r="H25" s="36" t="s">
        <v>323</v>
      </c>
      <c r="I25" s="36" t="s">
        <v>330</v>
      </c>
      <c r="J25" s="36" t="s">
        <v>236</v>
      </c>
      <c r="K25" s="36" t="s">
        <v>237</v>
      </c>
      <c r="L25" s="40">
        <v>46052</v>
      </c>
      <c r="M25" s="40">
        <v>46052</v>
      </c>
      <c r="N25" s="41">
        <v>46052</v>
      </c>
      <c r="O25" s="36" t="s">
        <v>325</v>
      </c>
      <c r="P25" s="41" t="s">
        <v>326</v>
      </c>
      <c r="Q25" s="36" t="s">
        <v>258</v>
      </c>
      <c r="R25" s="36" t="s">
        <v>45</v>
      </c>
      <c r="S25" s="36" t="s">
        <v>307</v>
      </c>
      <c r="T25" s="36" t="s">
        <v>272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239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242</v>
      </c>
      <c r="AI25" s="38" t="s">
        <v>242</v>
      </c>
      <c r="AJ25" s="38" t="s">
        <v>242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239</v>
      </c>
      <c r="AX25" s="38">
        <v>472.80000000000018</v>
      </c>
      <c r="AY25" s="45">
        <v>446</v>
      </c>
      <c r="AZ25" s="46" t="s">
        <v>243</v>
      </c>
      <c r="BA25" s="47"/>
      <c r="BB25" s="36"/>
      <c r="BC25" s="36"/>
      <c r="BD25" s="36">
        <v>0</v>
      </c>
      <c r="BE25" s="36">
        <v>110</v>
      </c>
      <c r="BF25" s="36" t="s">
        <v>244</v>
      </c>
      <c r="BG25" s="36" t="s">
        <v>114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331</v>
      </c>
      <c r="B26" s="36" t="s">
        <v>332</v>
      </c>
      <c r="C26" s="36" t="s">
        <v>333</v>
      </c>
      <c r="D26" s="38">
        <v>19314.280000000002</v>
      </c>
      <c r="E26" s="38">
        <v>23554</v>
      </c>
      <c r="F26" s="39">
        <v>46054</v>
      </c>
      <c r="G26" s="36" t="s">
        <v>118</v>
      </c>
      <c r="H26" s="36" t="s">
        <v>234</v>
      </c>
      <c r="I26" s="36" t="s">
        <v>334</v>
      </c>
      <c r="J26" s="36" t="s">
        <v>236</v>
      </c>
      <c r="K26" s="36" t="s">
        <v>237</v>
      </c>
      <c r="L26" s="40">
        <v>46059</v>
      </c>
      <c r="M26" s="40">
        <v>46059</v>
      </c>
      <c r="N26" s="41">
        <v>46059</v>
      </c>
      <c r="O26" s="36" t="s">
        <v>248</v>
      </c>
      <c r="P26" s="41" t="s">
        <v>239</v>
      </c>
      <c r="Q26" s="36" t="s">
        <v>240</v>
      </c>
      <c r="R26" s="36" t="s">
        <v>45</v>
      </c>
      <c r="S26" s="36" t="s">
        <v>160</v>
      </c>
      <c r="T26" s="36" t="s">
        <v>294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242</v>
      </c>
      <c r="AI26" s="38" t="s">
        <v>242</v>
      </c>
      <c r="AJ26" s="38" t="s">
        <v>242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239</v>
      </c>
      <c r="AX26" s="38">
        <v>0</v>
      </c>
      <c r="AY26" s="45">
        <v>0</v>
      </c>
      <c r="AZ26" s="46" t="s">
        <v>243</v>
      </c>
      <c r="BA26" s="47"/>
      <c r="BB26" s="36"/>
      <c r="BC26" s="36"/>
      <c r="BD26" s="36">
        <v>3</v>
      </c>
      <c r="BE26" s="36">
        <v>10</v>
      </c>
      <c r="BF26" s="36" t="s">
        <v>244</v>
      </c>
      <c r="BG26" s="36" t="s">
        <v>112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335</v>
      </c>
      <c r="B27" s="36" t="s">
        <v>336</v>
      </c>
      <c r="C27" s="36" t="s">
        <v>337</v>
      </c>
      <c r="D27" s="38">
        <v>13363.539999999999</v>
      </c>
      <c r="E27" s="38">
        <v>16297</v>
      </c>
      <c r="F27" s="39">
        <v>46054</v>
      </c>
      <c r="G27" s="36" t="s">
        <v>118</v>
      </c>
      <c r="H27" s="36" t="s">
        <v>234</v>
      </c>
      <c r="I27" s="36" t="s">
        <v>338</v>
      </c>
      <c r="J27" s="36" t="s">
        <v>236</v>
      </c>
      <c r="K27" s="36" t="s">
        <v>237</v>
      </c>
      <c r="L27" s="40">
        <v>46057</v>
      </c>
      <c r="M27" s="40">
        <v>46057</v>
      </c>
      <c r="N27" s="41">
        <v>46057</v>
      </c>
      <c r="O27" s="36" t="s">
        <v>256</v>
      </c>
      <c r="P27" s="41" t="s">
        <v>257</v>
      </c>
      <c r="Q27" s="36" t="s">
        <v>258</v>
      </c>
      <c r="R27" s="36" t="s">
        <v>45</v>
      </c>
      <c r="S27" s="36" t="s">
        <v>160</v>
      </c>
      <c r="T27" s="36" t="s">
        <v>294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242</v>
      </c>
      <c r="AI27" s="38" t="s">
        <v>242</v>
      </c>
      <c r="AJ27" s="38" t="s">
        <v>242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239</v>
      </c>
      <c r="AX27" s="38">
        <v>0</v>
      </c>
      <c r="AY27" s="45">
        <v>0</v>
      </c>
      <c r="AZ27" s="46" t="s">
        <v>243</v>
      </c>
      <c r="BA27" s="47"/>
      <c r="BB27" s="36"/>
      <c r="BC27" s="36"/>
      <c r="BD27" s="36">
        <v>5</v>
      </c>
      <c r="BE27" s="36">
        <v>9</v>
      </c>
      <c r="BF27" s="36" t="s">
        <v>244</v>
      </c>
      <c r="BG27" s="36" t="s">
        <v>112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339</v>
      </c>
      <c r="B28" s="36" t="s">
        <v>340</v>
      </c>
      <c r="C28" s="36" t="s">
        <v>341</v>
      </c>
      <c r="D28" s="38">
        <v>10481.240000000002</v>
      </c>
      <c r="E28" s="38">
        <v>12782</v>
      </c>
      <c r="F28" s="39">
        <v>46054</v>
      </c>
      <c r="G28" s="36" t="s">
        <v>118</v>
      </c>
      <c r="H28" s="36" t="s">
        <v>234</v>
      </c>
      <c r="I28" s="36" t="s">
        <v>342</v>
      </c>
      <c r="J28" s="36" t="s">
        <v>236</v>
      </c>
      <c r="K28" s="36" t="s">
        <v>237</v>
      </c>
      <c r="L28" s="40">
        <v>46057</v>
      </c>
      <c r="M28" s="40">
        <v>46058</v>
      </c>
      <c r="N28" s="41">
        <v>46058</v>
      </c>
      <c r="O28" s="36" t="s">
        <v>248</v>
      </c>
      <c r="P28" s="41" t="s">
        <v>239</v>
      </c>
      <c r="Q28" s="36" t="s">
        <v>240</v>
      </c>
      <c r="R28" s="36" t="s">
        <v>45</v>
      </c>
      <c r="S28" s="36" t="s">
        <v>160</v>
      </c>
      <c r="T28" s="36" t="s">
        <v>294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242</v>
      </c>
      <c r="AI28" s="38" t="s">
        <v>242</v>
      </c>
      <c r="AJ28" s="38" t="s">
        <v>242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239</v>
      </c>
      <c r="AX28" s="38">
        <v>0</v>
      </c>
      <c r="AY28" s="45">
        <v>0</v>
      </c>
      <c r="AZ28" s="46" t="s">
        <v>243</v>
      </c>
      <c r="BA28" s="47"/>
      <c r="BB28" s="36"/>
      <c r="BC28" s="36"/>
      <c r="BD28" s="36">
        <v>10</v>
      </c>
      <c r="BE28" s="36">
        <v>15</v>
      </c>
      <c r="BF28" s="36" t="s">
        <v>244</v>
      </c>
      <c r="BG28" s="36" t="s">
        <v>112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343</v>
      </c>
      <c r="B29" s="36" t="s">
        <v>344</v>
      </c>
      <c r="C29" s="36" t="s">
        <v>345</v>
      </c>
      <c r="D29" s="38">
        <v>20659.079999999998</v>
      </c>
      <c r="E29" s="38">
        <v>25194</v>
      </c>
      <c r="F29" s="39">
        <v>46054</v>
      </c>
      <c r="G29" s="36" t="s">
        <v>118</v>
      </c>
      <c r="H29" s="36" t="s">
        <v>234</v>
      </c>
      <c r="I29" s="36" t="s">
        <v>346</v>
      </c>
      <c r="J29" s="36" t="s">
        <v>236</v>
      </c>
      <c r="K29" s="36" t="s">
        <v>237</v>
      </c>
      <c r="L29" s="40">
        <v>46056</v>
      </c>
      <c r="M29" s="40">
        <v>46056</v>
      </c>
      <c r="N29" s="41">
        <v>46056</v>
      </c>
      <c r="O29" s="36" t="s">
        <v>248</v>
      </c>
      <c r="P29" s="41" t="s">
        <v>239</v>
      </c>
      <c r="Q29" s="36" t="s">
        <v>240</v>
      </c>
      <c r="R29" s="36" t="s">
        <v>45</v>
      </c>
      <c r="S29" s="36" t="s">
        <v>160</v>
      </c>
      <c r="T29" s="36" t="s">
        <v>294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239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242</v>
      </c>
      <c r="AI29" s="38" t="s">
        <v>242</v>
      </c>
      <c r="AJ29" s="38" t="s">
        <v>242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239</v>
      </c>
      <c r="AX29" s="38">
        <v>0</v>
      </c>
      <c r="AY29" s="45">
        <v>0</v>
      </c>
      <c r="AZ29" s="46" t="s">
        <v>243</v>
      </c>
      <c r="BA29" s="47"/>
      <c r="BB29" s="36"/>
      <c r="BC29" s="36"/>
      <c r="BD29" s="36">
        <v>8</v>
      </c>
      <c r="BE29" s="36">
        <v>13</v>
      </c>
      <c r="BF29" s="36" t="s">
        <v>244</v>
      </c>
      <c r="BG29" s="36" t="s">
        <v>112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347</v>
      </c>
      <c r="B30" s="36" t="s">
        <v>348</v>
      </c>
      <c r="C30" s="36" t="s">
        <v>349</v>
      </c>
      <c r="D30" s="38">
        <v>13179.039999999999</v>
      </c>
      <c r="E30" s="38">
        <v>16072</v>
      </c>
      <c r="F30" s="39">
        <v>46054</v>
      </c>
      <c r="G30" s="36" t="s">
        <v>118</v>
      </c>
      <c r="H30" s="36" t="s">
        <v>234</v>
      </c>
      <c r="I30" s="36" t="s">
        <v>350</v>
      </c>
      <c r="J30" s="36" t="s">
        <v>236</v>
      </c>
      <c r="K30" s="36" t="s">
        <v>237</v>
      </c>
      <c r="L30" s="40">
        <v>46059</v>
      </c>
      <c r="M30" s="40">
        <v>46059</v>
      </c>
      <c r="N30" s="41">
        <v>46059</v>
      </c>
      <c r="O30" s="36" t="s">
        <v>238</v>
      </c>
      <c r="P30" s="41" t="s">
        <v>239</v>
      </c>
      <c r="Q30" s="36" t="s">
        <v>240</v>
      </c>
      <c r="R30" s="36" t="s">
        <v>45</v>
      </c>
      <c r="S30" s="36" t="s">
        <v>160</v>
      </c>
      <c r="T30" s="36" t="s">
        <v>294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242</v>
      </c>
      <c r="AI30" s="38" t="s">
        <v>242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239</v>
      </c>
      <c r="AX30" s="38">
        <v>0</v>
      </c>
      <c r="AY30" s="45">
        <v>60</v>
      </c>
      <c r="AZ30" s="46" t="s">
        <v>243</v>
      </c>
      <c r="BA30" s="47"/>
      <c r="BB30" s="36"/>
      <c r="BC30" s="36"/>
      <c r="BD30" s="36">
        <v>0</v>
      </c>
      <c r="BE30" s="36">
        <v>4</v>
      </c>
      <c r="BF30" s="36" t="s">
        <v>244</v>
      </c>
      <c r="BG30" s="36" t="s">
        <v>112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351</v>
      </c>
      <c r="B31" s="36" t="s">
        <v>352</v>
      </c>
      <c r="C31" s="36" t="s">
        <v>353</v>
      </c>
      <c r="D31" s="38">
        <v>13179.039999999999</v>
      </c>
      <c r="E31" s="38">
        <v>16072</v>
      </c>
      <c r="F31" s="39">
        <v>46054</v>
      </c>
      <c r="G31" s="36" t="s">
        <v>118</v>
      </c>
      <c r="H31" s="36" t="s">
        <v>234</v>
      </c>
      <c r="I31" s="36" t="s">
        <v>354</v>
      </c>
      <c r="J31" s="36" t="s">
        <v>236</v>
      </c>
      <c r="K31" s="36" t="s">
        <v>237</v>
      </c>
      <c r="L31" s="40">
        <v>46058</v>
      </c>
      <c r="M31" s="40">
        <v>46058</v>
      </c>
      <c r="N31" s="41">
        <v>46058</v>
      </c>
      <c r="O31" s="36" t="s">
        <v>256</v>
      </c>
      <c r="P31" s="41" t="s">
        <v>257</v>
      </c>
      <c r="Q31" s="36" t="s">
        <v>258</v>
      </c>
      <c r="R31" s="36" t="s">
        <v>45</v>
      </c>
      <c r="S31" s="36" t="s">
        <v>160</v>
      </c>
      <c r="T31" s="36" t="s">
        <v>294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242</v>
      </c>
      <c r="AI31" s="38" t="s">
        <v>242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239</v>
      </c>
      <c r="AX31" s="38">
        <v>0</v>
      </c>
      <c r="AY31" s="45">
        <v>60</v>
      </c>
      <c r="AZ31" s="46" t="s">
        <v>243</v>
      </c>
      <c r="BA31" s="47"/>
      <c r="BB31" s="36"/>
      <c r="BC31" s="36"/>
      <c r="BD31" s="36">
        <v>5</v>
      </c>
      <c r="BE31" s="36">
        <v>8</v>
      </c>
      <c r="BF31" s="36" t="s">
        <v>244</v>
      </c>
      <c r="BG31" s="36" t="s">
        <v>112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355</v>
      </c>
      <c r="B32" s="36" t="s">
        <v>356</v>
      </c>
      <c r="C32" s="36" t="s">
        <v>357</v>
      </c>
      <c r="D32" s="38">
        <v>12810.86</v>
      </c>
      <c r="E32" s="38">
        <v>15623</v>
      </c>
      <c r="F32" s="39">
        <v>46066</v>
      </c>
      <c r="G32" s="36" t="s">
        <v>118</v>
      </c>
      <c r="H32" s="36" t="s">
        <v>234</v>
      </c>
      <c r="I32" s="36" t="s">
        <v>358</v>
      </c>
      <c r="J32" s="36" t="s">
        <v>236</v>
      </c>
      <c r="K32" s="36" t="s">
        <v>237</v>
      </c>
      <c r="L32" s="40">
        <v>46063</v>
      </c>
      <c r="M32" s="40">
        <v>46063</v>
      </c>
      <c r="N32" s="41">
        <v>46063</v>
      </c>
      <c r="O32" s="36" t="s">
        <v>238</v>
      </c>
      <c r="P32" s="41" t="s">
        <v>239</v>
      </c>
      <c r="Q32" s="36" t="s">
        <v>240</v>
      </c>
      <c r="R32" s="36" t="s">
        <v>45</v>
      </c>
      <c r="S32" s="36" t="s">
        <v>160</v>
      </c>
      <c r="T32" s="36" t="s">
        <v>359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242</v>
      </c>
      <c r="AI32" s="38" t="s">
        <v>242</v>
      </c>
      <c r="AJ32" s="38" t="s">
        <v>242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239</v>
      </c>
      <c r="AX32" s="38">
        <v>0</v>
      </c>
      <c r="AY32" s="45">
        <v>60</v>
      </c>
      <c r="AZ32" s="46" t="s">
        <v>243</v>
      </c>
      <c r="BA32" s="47"/>
      <c r="BB32" s="36"/>
      <c r="BC32" s="36"/>
      <c r="BD32" s="36">
        <v>9</v>
      </c>
      <c r="BE32" s="36">
        <v>14</v>
      </c>
      <c r="BF32" s="36" t="s">
        <v>244</v>
      </c>
      <c r="BG32" s="36" t="s">
        <v>112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360</v>
      </c>
      <c r="B33" s="36" t="s">
        <v>361</v>
      </c>
      <c r="C33" s="36" t="s">
        <v>362</v>
      </c>
      <c r="D33" s="38">
        <v>9765.380000000001</v>
      </c>
      <c r="E33" s="38">
        <v>11909</v>
      </c>
      <c r="F33" s="39">
        <v>46066</v>
      </c>
      <c r="G33" s="36" t="s">
        <v>118</v>
      </c>
      <c r="H33" s="36" t="s">
        <v>234</v>
      </c>
      <c r="I33" s="36" t="s">
        <v>363</v>
      </c>
      <c r="J33" s="36" t="s">
        <v>236</v>
      </c>
      <c r="K33" s="36" t="s">
        <v>237</v>
      </c>
      <c r="L33" s="40">
        <v>46065</v>
      </c>
      <c r="M33" s="40">
        <v>46066</v>
      </c>
      <c r="N33" s="41">
        <v>46066</v>
      </c>
      <c r="O33" s="36" t="s">
        <v>238</v>
      </c>
      <c r="P33" s="41" t="s">
        <v>239</v>
      </c>
      <c r="Q33" s="36" t="s">
        <v>240</v>
      </c>
      <c r="R33" s="36" t="s">
        <v>45</v>
      </c>
      <c r="S33" s="36" t="s">
        <v>160</v>
      </c>
      <c r="T33" s="36" t="s">
        <v>359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242</v>
      </c>
      <c r="AI33" s="38" t="s">
        <v>242</v>
      </c>
      <c r="AJ33" s="38" t="s">
        <v>242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239</v>
      </c>
      <c r="AX33" s="38">
        <v>0</v>
      </c>
      <c r="AY33" s="45">
        <v>0</v>
      </c>
      <c r="AZ33" s="46" t="s">
        <v>243</v>
      </c>
      <c r="BA33" s="47"/>
      <c r="BB33" s="36"/>
      <c r="BC33" s="36"/>
      <c r="BD33" s="36">
        <v>3</v>
      </c>
      <c r="BE33" s="36">
        <v>6</v>
      </c>
      <c r="BF33" s="36" t="s">
        <v>244</v>
      </c>
      <c r="BG33" s="36" t="s">
        <v>112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364</v>
      </c>
      <c r="B34" s="36" t="s">
        <v>365</v>
      </c>
      <c r="C34" s="36" t="s">
        <v>366</v>
      </c>
      <c r="D34" s="38">
        <v>9765.380000000001</v>
      </c>
      <c r="E34" s="38">
        <v>11909</v>
      </c>
      <c r="F34" s="39">
        <v>46066</v>
      </c>
      <c r="G34" s="36" t="s">
        <v>118</v>
      </c>
      <c r="H34" s="36" t="s">
        <v>234</v>
      </c>
      <c r="I34" s="36" t="s">
        <v>367</v>
      </c>
      <c r="J34" s="36" t="s">
        <v>236</v>
      </c>
      <c r="K34" s="36" t="s">
        <v>237</v>
      </c>
      <c r="L34" s="40">
        <v>46065</v>
      </c>
      <c r="M34" s="40">
        <v>46065</v>
      </c>
      <c r="N34" s="41">
        <v>46065</v>
      </c>
      <c r="O34" s="36" t="s">
        <v>238</v>
      </c>
      <c r="P34" s="41" t="s">
        <v>239</v>
      </c>
      <c r="Q34" s="36" t="s">
        <v>240</v>
      </c>
      <c r="R34" s="36" t="s">
        <v>45</v>
      </c>
      <c r="S34" s="36" t="s">
        <v>160</v>
      </c>
      <c r="T34" s="36" t="s">
        <v>359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242</v>
      </c>
      <c r="AI34" s="38" t="s">
        <v>242</v>
      </c>
      <c r="AJ34" s="38" t="s">
        <v>242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239</v>
      </c>
      <c r="AX34" s="38">
        <v>0</v>
      </c>
      <c r="AY34" s="45">
        <v>0</v>
      </c>
      <c r="AZ34" s="46" t="s">
        <v>243</v>
      </c>
      <c r="BA34" s="47"/>
      <c r="BB34" s="36"/>
      <c r="BC34" s="36"/>
      <c r="BD34" s="36">
        <v>1</v>
      </c>
      <c r="BE34" s="36">
        <v>4</v>
      </c>
      <c r="BF34" s="36" t="s">
        <v>244</v>
      </c>
      <c r="BG34" s="36" t="s">
        <v>112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368</v>
      </c>
      <c r="B35" s="36" t="s">
        <v>369</v>
      </c>
      <c r="C35" s="36" t="s">
        <v>370</v>
      </c>
      <c r="D35" s="38">
        <v>9765.380000000001</v>
      </c>
      <c r="E35" s="38">
        <v>11909</v>
      </c>
      <c r="F35" s="39">
        <v>46066</v>
      </c>
      <c r="G35" s="36" t="s">
        <v>118</v>
      </c>
      <c r="H35" s="36" t="s">
        <v>234</v>
      </c>
      <c r="I35" s="36" t="s">
        <v>371</v>
      </c>
      <c r="J35" s="36" t="s">
        <v>236</v>
      </c>
      <c r="K35" s="36" t="s">
        <v>237</v>
      </c>
      <c r="L35" s="40">
        <v>46064</v>
      </c>
      <c r="M35" s="40">
        <v>46064</v>
      </c>
      <c r="N35" s="41">
        <v>46064</v>
      </c>
      <c r="O35" s="36" t="s">
        <v>248</v>
      </c>
      <c r="P35" s="41" t="s">
        <v>239</v>
      </c>
      <c r="Q35" s="36" t="s">
        <v>240</v>
      </c>
      <c r="R35" s="36" t="s">
        <v>45</v>
      </c>
      <c r="S35" s="36" t="s">
        <v>160</v>
      </c>
      <c r="T35" s="36" t="s">
        <v>359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242</v>
      </c>
      <c r="AI35" s="38" t="s">
        <v>242</v>
      </c>
      <c r="AJ35" s="38" t="s">
        <v>242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239</v>
      </c>
      <c r="AX35" s="38">
        <v>0</v>
      </c>
      <c r="AY35" s="45">
        <v>0</v>
      </c>
      <c r="AZ35" s="46" t="s">
        <v>243</v>
      </c>
      <c r="BA35" s="47"/>
      <c r="BB35" s="36"/>
      <c r="BC35" s="36"/>
      <c r="BD35" s="36">
        <v>5</v>
      </c>
      <c r="BE35" s="36">
        <v>8</v>
      </c>
      <c r="BF35" s="36" t="s">
        <v>244</v>
      </c>
      <c r="BG35" s="36" t="s">
        <v>112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372</v>
      </c>
      <c r="B36" s="36" t="s">
        <v>373</v>
      </c>
      <c r="C36" s="36" t="s">
        <v>374</v>
      </c>
      <c r="D36" s="38">
        <v>13179.039999999999</v>
      </c>
      <c r="E36" s="38">
        <v>16072</v>
      </c>
      <c r="F36" s="39">
        <v>46066</v>
      </c>
      <c r="G36" s="36" t="s">
        <v>118</v>
      </c>
      <c r="H36" s="36" t="s">
        <v>234</v>
      </c>
      <c r="I36" s="36" t="s">
        <v>375</v>
      </c>
      <c r="J36" s="36" t="s">
        <v>236</v>
      </c>
      <c r="K36" s="36" t="s">
        <v>237</v>
      </c>
      <c r="L36" s="40">
        <v>46067</v>
      </c>
      <c r="M36" s="40">
        <v>46067</v>
      </c>
      <c r="N36" s="41">
        <v>46067</v>
      </c>
      <c r="O36" s="36" t="s">
        <v>238</v>
      </c>
      <c r="P36" s="41" t="s">
        <v>239</v>
      </c>
      <c r="Q36" s="36" t="s">
        <v>240</v>
      </c>
      <c r="R36" s="36" t="s">
        <v>45</v>
      </c>
      <c r="S36" s="36" t="s">
        <v>160</v>
      </c>
      <c r="T36" s="36" t="s">
        <v>359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242</v>
      </c>
      <c r="AI36" s="38" t="s">
        <v>242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239</v>
      </c>
      <c r="AX36" s="38">
        <v>0</v>
      </c>
      <c r="AY36" s="45">
        <v>240</v>
      </c>
      <c r="AZ36" s="46" t="s">
        <v>243</v>
      </c>
      <c r="BA36" s="47"/>
      <c r="BB36" s="36"/>
      <c r="BC36" s="36"/>
      <c r="BD36" s="36">
        <v>1</v>
      </c>
      <c r="BE36" s="36">
        <v>3</v>
      </c>
      <c r="BF36" s="36" t="s">
        <v>244</v>
      </c>
      <c r="BG36" s="36" t="s">
        <v>112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376</v>
      </c>
      <c r="B37" s="36" t="s">
        <v>377</v>
      </c>
      <c r="C37" s="36" t="s">
        <v>378</v>
      </c>
      <c r="D37" s="38">
        <v>14111.380000000001</v>
      </c>
      <c r="E37" s="38">
        <v>17209</v>
      </c>
      <c r="F37" s="39">
        <v>46066</v>
      </c>
      <c r="G37" s="36" t="s">
        <v>118</v>
      </c>
      <c r="H37" s="36" t="s">
        <v>234</v>
      </c>
      <c r="I37" s="36" t="s">
        <v>379</v>
      </c>
      <c r="J37" s="36" t="s">
        <v>236</v>
      </c>
      <c r="K37" s="36" t="s">
        <v>237</v>
      </c>
      <c r="L37" s="40">
        <v>46063</v>
      </c>
      <c r="M37" s="40">
        <v>46063</v>
      </c>
      <c r="N37" s="41">
        <v>46063</v>
      </c>
      <c r="O37" s="36" t="s">
        <v>256</v>
      </c>
      <c r="P37" s="41" t="s">
        <v>257</v>
      </c>
      <c r="Q37" s="36" t="s">
        <v>258</v>
      </c>
      <c r="R37" s="36" t="s">
        <v>45</v>
      </c>
      <c r="S37" s="36" t="s">
        <v>160</v>
      </c>
      <c r="T37" s="36" t="s">
        <v>359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242</v>
      </c>
      <c r="AI37" s="38" t="s">
        <v>242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239</v>
      </c>
      <c r="AX37" s="38">
        <v>0</v>
      </c>
      <c r="AY37" s="45">
        <v>60</v>
      </c>
      <c r="AZ37" s="46" t="s">
        <v>243</v>
      </c>
      <c r="BA37" s="47"/>
      <c r="BB37" s="36"/>
      <c r="BC37" s="36"/>
      <c r="BD37" s="36">
        <v>1</v>
      </c>
      <c r="BE37" s="36">
        <v>5</v>
      </c>
      <c r="BF37" s="36" t="s">
        <v>244</v>
      </c>
      <c r="BG37" s="36" t="s">
        <v>112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380</v>
      </c>
      <c r="B38" s="36" t="s">
        <v>381</v>
      </c>
      <c r="C38" s="36" t="s">
        <v>382</v>
      </c>
      <c r="D38" s="38">
        <v>1687.29</v>
      </c>
      <c r="E38" s="38">
        <v>2081</v>
      </c>
      <c r="F38" s="39">
        <v>46066</v>
      </c>
      <c r="G38" s="36" t="s">
        <v>111</v>
      </c>
      <c r="H38" s="36" t="s">
        <v>303</v>
      </c>
      <c r="I38" s="36" t="s">
        <v>383</v>
      </c>
      <c r="J38" s="36" t="s">
        <v>236</v>
      </c>
      <c r="K38" s="36" t="s">
        <v>237</v>
      </c>
      <c r="L38" s="40">
        <v>46064</v>
      </c>
      <c r="M38" s="40">
        <v>46064</v>
      </c>
      <c r="N38" s="41">
        <v>46064</v>
      </c>
      <c r="O38" s="36" t="s">
        <v>305</v>
      </c>
      <c r="P38" s="41" t="s">
        <v>306</v>
      </c>
      <c r="Q38" s="36" t="s">
        <v>258</v>
      </c>
      <c r="R38" s="36" t="s">
        <v>45</v>
      </c>
      <c r="S38" s="36" t="s">
        <v>307</v>
      </c>
      <c r="T38" s="36" t="s">
        <v>359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239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242</v>
      </c>
      <c r="AI38" s="38" t="s">
        <v>242</v>
      </c>
      <c r="AJ38" s="38" t="s">
        <v>242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239</v>
      </c>
      <c r="AX38" s="38">
        <v>0</v>
      </c>
      <c r="AY38" s="45">
        <v>0</v>
      </c>
      <c r="AZ38" s="46" t="s">
        <v>243</v>
      </c>
      <c r="BA38" s="47"/>
      <c r="BB38" s="36"/>
      <c r="BC38" s="36"/>
      <c r="BD38" s="36">
        <v>0</v>
      </c>
      <c r="BE38" s="36">
        <v>12</v>
      </c>
      <c r="BF38" s="36" t="s">
        <v>244</v>
      </c>
      <c r="BG38" s="36" t="s">
        <v>114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384</v>
      </c>
      <c r="B39" s="36" t="s">
        <v>385</v>
      </c>
      <c r="C39" s="36" t="s">
        <v>386</v>
      </c>
      <c r="D39" s="38">
        <v>1687.29</v>
      </c>
      <c r="E39" s="38">
        <v>2081</v>
      </c>
      <c r="F39" s="39">
        <v>46066</v>
      </c>
      <c r="G39" s="36" t="s">
        <v>111</v>
      </c>
      <c r="H39" s="36" t="s">
        <v>303</v>
      </c>
      <c r="I39" s="36" t="s">
        <v>387</v>
      </c>
      <c r="J39" s="36" t="s">
        <v>236</v>
      </c>
      <c r="K39" s="36" t="s">
        <v>237</v>
      </c>
      <c r="L39" s="40">
        <v>46063</v>
      </c>
      <c r="M39" s="40">
        <v>46063</v>
      </c>
      <c r="N39" s="41">
        <v>46063</v>
      </c>
      <c r="O39" s="36" t="s">
        <v>325</v>
      </c>
      <c r="P39" s="41" t="s">
        <v>326</v>
      </c>
      <c r="Q39" s="36" t="s">
        <v>258</v>
      </c>
      <c r="R39" s="36" t="s">
        <v>45</v>
      </c>
      <c r="S39" s="36" t="s">
        <v>307</v>
      </c>
      <c r="T39" s="36" t="s">
        <v>359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239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242</v>
      </c>
      <c r="AI39" s="38" t="s">
        <v>242</v>
      </c>
      <c r="AJ39" s="38" t="s">
        <v>242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239</v>
      </c>
      <c r="AX39" s="38">
        <v>394</v>
      </c>
      <c r="AY39" s="45">
        <v>0</v>
      </c>
      <c r="AZ39" s="46" t="s">
        <v>243</v>
      </c>
      <c r="BA39" s="47"/>
      <c r="BB39" s="36"/>
      <c r="BC39" s="36"/>
      <c r="BD39" s="36">
        <v>0</v>
      </c>
      <c r="BE39" s="36">
        <v>13</v>
      </c>
      <c r="BF39" s="36" t="s">
        <v>244</v>
      </c>
      <c r="BG39" s="36" t="s">
        <v>114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388</v>
      </c>
      <c r="B40" s="36" t="s">
        <v>389</v>
      </c>
      <c r="C40" s="36" t="s">
        <v>390</v>
      </c>
      <c r="D40" s="38">
        <v>1687.29</v>
      </c>
      <c r="E40" s="38">
        <v>2081</v>
      </c>
      <c r="F40" s="39">
        <v>46066</v>
      </c>
      <c r="G40" s="36" t="s">
        <v>111</v>
      </c>
      <c r="H40" s="36" t="s">
        <v>303</v>
      </c>
      <c r="I40" s="36" t="s">
        <v>391</v>
      </c>
      <c r="J40" s="36" t="s">
        <v>236</v>
      </c>
      <c r="K40" s="36" t="s">
        <v>237</v>
      </c>
      <c r="L40" s="40">
        <v>46065</v>
      </c>
      <c r="M40" s="40">
        <v>46065</v>
      </c>
      <c r="N40" s="41">
        <v>46065</v>
      </c>
      <c r="O40" s="36" t="s">
        <v>325</v>
      </c>
      <c r="P40" s="41" t="s">
        <v>326</v>
      </c>
      <c r="Q40" s="36" t="s">
        <v>258</v>
      </c>
      <c r="R40" s="36" t="s">
        <v>45</v>
      </c>
      <c r="S40" s="36" t="s">
        <v>307</v>
      </c>
      <c r="T40" s="36" t="s">
        <v>359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239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242</v>
      </c>
      <c r="AI40" s="38" t="s">
        <v>242</v>
      </c>
      <c r="AJ40" s="38" t="s">
        <v>242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239</v>
      </c>
      <c r="AX40" s="38">
        <v>0</v>
      </c>
      <c r="AY40" s="45">
        <v>0</v>
      </c>
      <c r="AZ40" s="46" t="s">
        <v>243</v>
      </c>
      <c r="BA40" s="47"/>
      <c r="BB40" s="36"/>
      <c r="BC40" s="36"/>
      <c r="BD40" s="36">
        <v>0</v>
      </c>
      <c r="BE40" s="36">
        <v>11</v>
      </c>
      <c r="BF40" s="36" t="s">
        <v>244</v>
      </c>
      <c r="BG40" s="36" t="s">
        <v>114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392</v>
      </c>
      <c r="B41" s="36" t="s">
        <v>393</v>
      </c>
      <c r="C41" s="36" t="s">
        <v>394</v>
      </c>
      <c r="D41" s="38">
        <v>1687.29</v>
      </c>
      <c r="E41" s="38">
        <v>2081</v>
      </c>
      <c r="F41" s="39">
        <v>46066</v>
      </c>
      <c r="G41" s="36" t="s">
        <v>111</v>
      </c>
      <c r="H41" s="36" t="s">
        <v>303</v>
      </c>
      <c r="I41" s="36" t="s">
        <v>395</v>
      </c>
      <c r="J41" s="36" t="s">
        <v>236</v>
      </c>
      <c r="K41" s="36" t="s">
        <v>237</v>
      </c>
      <c r="L41" s="40">
        <v>46063</v>
      </c>
      <c r="M41" s="40">
        <v>46063</v>
      </c>
      <c r="N41" s="41">
        <v>46063</v>
      </c>
      <c r="O41" s="36" t="s">
        <v>325</v>
      </c>
      <c r="P41" s="41" t="s">
        <v>326</v>
      </c>
      <c r="Q41" s="36" t="s">
        <v>258</v>
      </c>
      <c r="R41" s="36" t="s">
        <v>45</v>
      </c>
      <c r="S41" s="36" t="s">
        <v>307</v>
      </c>
      <c r="T41" s="36" t="s">
        <v>359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239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242</v>
      </c>
      <c r="AI41" s="38" t="s">
        <v>242</v>
      </c>
      <c r="AJ41" s="38" t="s">
        <v>242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239</v>
      </c>
      <c r="AX41" s="38">
        <v>394</v>
      </c>
      <c r="AY41" s="45">
        <v>0</v>
      </c>
      <c r="AZ41" s="46" t="s">
        <v>243</v>
      </c>
      <c r="BA41" s="47"/>
      <c r="BB41" s="36"/>
      <c r="BC41" s="36"/>
      <c r="BD41" s="36">
        <v>0</v>
      </c>
      <c r="BE41" s="36">
        <v>13</v>
      </c>
      <c r="BF41" s="36" t="s">
        <v>244</v>
      </c>
      <c r="BG41" s="36" t="s">
        <v>114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396</v>
      </c>
      <c r="B42" s="36" t="s">
        <v>397</v>
      </c>
      <c r="C42" s="36" t="s">
        <v>398</v>
      </c>
      <c r="D42" s="38">
        <v>1687.29</v>
      </c>
      <c r="E42" s="38">
        <v>2081</v>
      </c>
      <c r="F42" s="39">
        <v>46066</v>
      </c>
      <c r="G42" s="36" t="s">
        <v>111</v>
      </c>
      <c r="H42" s="36" t="s">
        <v>303</v>
      </c>
      <c r="I42" s="36" t="s">
        <v>399</v>
      </c>
      <c r="J42" s="36" t="s">
        <v>236</v>
      </c>
      <c r="K42" s="36" t="s">
        <v>237</v>
      </c>
      <c r="L42" s="40">
        <v>46064</v>
      </c>
      <c r="M42" s="40">
        <v>46064</v>
      </c>
      <c r="N42" s="41">
        <v>46064</v>
      </c>
      <c r="O42" s="36" t="s">
        <v>325</v>
      </c>
      <c r="P42" s="41" t="s">
        <v>326</v>
      </c>
      <c r="Q42" s="36" t="s">
        <v>258</v>
      </c>
      <c r="R42" s="36" t="s">
        <v>45</v>
      </c>
      <c r="S42" s="36" t="s">
        <v>307</v>
      </c>
      <c r="T42" s="36" t="s">
        <v>359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239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242</v>
      </c>
      <c r="AI42" s="38" t="s">
        <v>242</v>
      </c>
      <c r="AJ42" s="38" t="s">
        <v>242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239</v>
      </c>
      <c r="AX42" s="38">
        <v>394</v>
      </c>
      <c r="AY42" s="45">
        <v>0</v>
      </c>
      <c r="AZ42" s="46" t="s">
        <v>243</v>
      </c>
      <c r="BA42" s="47"/>
      <c r="BB42" s="36"/>
      <c r="BC42" s="36"/>
      <c r="BD42" s="36">
        <v>0</v>
      </c>
      <c r="BE42" s="36">
        <v>12</v>
      </c>
      <c r="BF42" s="36" t="s">
        <v>244</v>
      </c>
      <c r="BG42" s="36" t="s">
        <v>114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400</v>
      </c>
      <c r="B43" s="36" t="s">
        <v>401</v>
      </c>
      <c r="C43" s="36" t="s">
        <v>402</v>
      </c>
      <c r="D43" s="38">
        <v>1687.29</v>
      </c>
      <c r="E43" s="38">
        <v>2081</v>
      </c>
      <c r="F43" s="39">
        <v>46066</v>
      </c>
      <c r="G43" s="36" t="s">
        <v>111</v>
      </c>
      <c r="H43" s="36" t="s">
        <v>303</v>
      </c>
      <c r="I43" s="36" t="s">
        <v>403</v>
      </c>
      <c r="J43" s="36" t="s">
        <v>236</v>
      </c>
      <c r="K43" s="36" t="s">
        <v>237</v>
      </c>
      <c r="L43" s="40">
        <v>46064</v>
      </c>
      <c r="M43" s="40">
        <v>46064</v>
      </c>
      <c r="N43" s="41">
        <v>46064</v>
      </c>
      <c r="O43" s="36" t="s">
        <v>305</v>
      </c>
      <c r="P43" s="41" t="s">
        <v>306</v>
      </c>
      <c r="Q43" s="36" t="s">
        <v>258</v>
      </c>
      <c r="R43" s="36" t="s">
        <v>45</v>
      </c>
      <c r="S43" s="36" t="s">
        <v>307</v>
      </c>
      <c r="T43" s="36" t="s">
        <v>359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239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242</v>
      </c>
      <c r="AI43" s="38" t="s">
        <v>242</v>
      </c>
      <c r="AJ43" s="38" t="s">
        <v>242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239</v>
      </c>
      <c r="AX43" s="38">
        <v>0</v>
      </c>
      <c r="AY43" s="45">
        <v>0</v>
      </c>
      <c r="AZ43" s="46" t="s">
        <v>243</v>
      </c>
      <c r="BA43" s="47"/>
      <c r="BB43" s="36"/>
      <c r="BC43" s="36"/>
      <c r="BD43" s="36">
        <v>0</v>
      </c>
      <c r="BE43" s="36">
        <v>12</v>
      </c>
      <c r="BF43" s="36" t="s">
        <v>244</v>
      </c>
      <c r="BG43" s="36" t="s">
        <v>114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404</v>
      </c>
      <c r="B44" s="36" t="s">
        <v>405</v>
      </c>
      <c r="C44" s="36" t="s">
        <v>406</v>
      </c>
      <c r="D44" s="38">
        <v>1687.29</v>
      </c>
      <c r="E44" s="38">
        <v>2081</v>
      </c>
      <c r="F44" s="39">
        <v>46066</v>
      </c>
      <c r="G44" s="36" t="s">
        <v>111</v>
      </c>
      <c r="H44" s="36" t="s">
        <v>303</v>
      </c>
      <c r="I44" s="36" t="s">
        <v>407</v>
      </c>
      <c r="J44" s="36" t="s">
        <v>236</v>
      </c>
      <c r="K44" s="36" t="s">
        <v>237</v>
      </c>
      <c r="L44" s="40">
        <v>46065</v>
      </c>
      <c r="M44" s="40">
        <v>46065</v>
      </c>
      <c r="N44" s="41">
        <v>46065</v>
      </c>
      <c r="O44" s="36" t="s">
        <v>305</v>
      </c>
      <c r="P44" s="41" t="s">
        <v>306</v>
      </c>
      <c r="Q44" s="36" t="s">
        <v>258</v>
      </c>
      <c r="R44" s="36" t="s">
        <v>45</v>
      </c>
      <c r="S44" s="36" t="s">
        <v>307</v>
      </c>
      <c r="T44" s="36" t="s">
        <v>359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239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242</v>
      </c>
      <c r="AI44" s="38" t="s">
        <v>242</v>
      </c>
      <c r="AJ44" s="38" t="s">
        <v>242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239</v>
      </c>
      <c r="AX44" s="38">
        <v>0</v>
      </c>
      <c r="AY44" s="45">
        <v>0</v>
      </c>
      <c r="AZ44" s="46" t="s">
        <v>243</v>
      </c>
      <c r="BA44" s="47"/>
      <c r="BB44" s="36"/>
      <c r="BC44" s="36"/>
      <c r="BD44" s="36">
        <v>0</v>
      </c>
      <c r="BE44" s="36">
        <v>11</v>
      </c>
      <c r="BF44" s="36" t="s">
        <v>244</v>
      </c>
      <c r="BG44" s="36" t="s">
        <v>114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408</v>
      </c>
      <c r="B45" s="36" t="s">
        <v>409</v>
      </c>
      <c r="C45" s="36" t="s">
        <v>410</v>
      </c>
      <c r="D45" s="38">
        <v>40268.559999999998</v>
      </c>
      <c r="E45" s="38">
        <v>49108</v>
      </c>
      <c r="F45" s="39">
        <v>46066</v>
      </c>
      <c r="G45" s="36" t="s">
        <v>118</v>
      </c>
      <c r="H45" s="36" t="s">
        <v>298</v>
      </c>
      <c r="I45" s="36" t="s">
        <v>411</v>
      </c>
      <c r="J45" s="36" t="s">
        <v>236</v>
      </c>
      <c r="K45" s="36" t="s">
        <v>237</v>
      </c>
      <c r="L45" s="40">
        <v>46065</v>
      </c>
      <c r="M45" s="40">
        <v>46069</v>
      </c>
      <c r="N45" s="41">
        <v>46069</v>
      </c>
      <c r="O45" s="36" t="s">
        <v>256</v>
      </c>
      <c r="P45" s="41" t="s">
        <v>257</v>
      </c>
      <c r="Q45" s="36" t="s">
        <v>258</v>
      </c>
      <c r="R45" s="36" t="s">
        <v>45</v>
      </c>
      <c r="S45" s="36" t="s">
        <v>160</v>
      </c>
      <c r="T45" s="36" t="s">
        <v>412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239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242</v>
      </c>
      <c r="AI45" s="38" t="s">
        <v>242</v>
      </c>
      <c r="AJ45" s="38" t="s">
        <v>242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239</v>
      </c>
      <c r="AX45" s="38">
        <v>0</v>
      </c>
      <c r="AY45" s="45">
        <v>0</v>
      </c>
      <c r="AZ45" s="46" t="s">
        <v>243</v>
      </c>
      <c r="BA45" s="47"/>
      <c r="BB45" s="36"/>
      <c r="BC45" s="36"/>
      <c r="BD45" s="36">
        <v>2</v>
      </c>
      <c r="BE45" s="36">
        <v>4</v>
      </c>
      <c r="BF45" s="36" t="s">
        <v>244</v>
      </c>
      <c r="BG45" s="36" t="s">
        <v>112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413</v>
      </c>
      <c r="B46" s="36" t="s">
        <v>414</v>
      </c>
      <c r="C46" s="36" t="s">
        <v>415</v>
      </c>
      <c r="D46" s="38">
        <v>14935.48</v>
      </c>
      <c r="E46" s="38">
        <v>18214</v>
      </c>
      <c r="F46" s="39">
        <v>46066</v>
      </c>
      <c r="G46" s="36" t="s">
        <v>118</v>
      </c>
      <c r="H46" s="36" t="s">
        <v>234</v>
      </c>
      <c r="I46" s="36" t="s">
        <v>416</v>
      </c>
      <c r="J46" s="36" t="s">
        <v>236</v>
      </c>
      <c r="K46" s="36" t="s">
        <v>237</v>
      </c>
      <c r="L46" s="40">
        <v>46071</v>
      </c>
      <c r="M46" s="40">
        <v>46072</v>
      </c>
      <c r="N46" s="41">
        <v>46072</v>
      </c>
      <c r="O46" s="36" t="s">
        <v>417</v>
      </c>
      <c r="P46" s="41" t="s">
        <v>239</v>
      </c>
      <c r="Q46" s="36" t="s">
        <v>240</v>
      </c>
      <c r="R46" s="36" t="s">
        <v>45</v>
      </c>
      <c r="S46" s="36" t="s">
        <v>160</v>
      </c>
      <c r="T46" s="36" t="s">
        <v>412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239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242</v>
      </c>
      <c r="AI46" s="38" t="s">
        <v>242</v>
      </c>
      <c r="AJ46" s="38" t="s">
        <v>242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239</v>
      </c>
      <c r="AX46" s="38">
        <v>0</v>
      </c>
      <c r="AY46" s="45">
        <v>60</v>
      </c>
      <c r="AZ46" s="46" t="s">
        <v>243</v>
      </c>
      <c r="BA46" s="47"/>
      <c r="BB46" s="36"/>
      <c r="BC46" s="36"/>
      <c r="BD46" s="36">
        <v>0</v>
      </c>
      <c r="BE46" s="36">
        <v>11</v>
      </c>
      <c r="BF46" s="36" t="s">
        <v>244</v>
      </c>
      <c r="BG46" s="36" t="s">
        <v>112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418</v>
      </c>
      <c r="B47" s="36" t="s">
        <v>419</v>
      </c>
      <c r="C47" s="36" t="s">
        <v>420</v>
      </c>
      <c r="D47" s="38">
        <v>9765.380000000001</v>
      </c>
      <c r="E47" s="38">
        <v>11909</v>
      </c>
      <c r="F47" s="39">
        <v>46066</v>
      </c>
      <c r="G47" s="36" t="s">
        <v>118</v>
      </c>
      <c r="H47" s="36" t="s">
        <v>234</v>
      </c>
      <c r="I47" s="36" t="s">
        <v>421</v>
      </c>
      <c r="J47" s="36" t="s">
        <v>236</v>
      </c>
      <c r="K47" s="36" t="s">
        <v>237</v>
      </c>
      <c r="L47" s="40">
        <v>46072</v>
      </c>
      <c r="M47" s="40">
        <v>46072</v>
      </c>
      <c r="N47" s="41">
        <v>46072</v>
      </c>
      <c r="O47" s="36" t="s">
        <v>248</v>
      </c>
      <c r="P47" s="41" t="s">
        <v>239</v>
      </c>
      <c r="Q47" s="36" t="s">
        <v>240</v>
      </c>
      <c r="R47" s="36" t="s">
        <v>45</v>
      </c>
      <c r="S47" s="36" t="s">
        <v>160</v>
      </c>
      <c r="T47" s="36" t="s">
        <v>412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242</v>
      </c>
      <c r="AI47" s="38" t="s">
        <v>242</v>
      </c>
      <c r="AJ47" s="38" t="s">
        <v>242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239</v>
      </c>
      <c r="AX47" s="38">
        <v>0</v>
      </c>
      <c r="AY47" s="45">
        <v>60</v>
      </c>
      <c r="AZ47" s="46" t="s">
        <v>243</v>
      </c>
      <c r="BA47" s="47"/>
      <c r="BB47" s="36"/>
      <c r="BC47" s="36"/>
      <c r="BD47" s="36">
        <v>6</v>
      </c>
      <c r="BE47" s="36">
        <v>11</v>
      </c>
      <c r="BF47" s="36" t="s">
        <v>244</v>
      </c>
      <c r="BG47" s="36" t="s">
        <v>112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422</v>
      </c>
      <c r="B48" s="36" t="s">
        <v>423</v>
      </c>
      <c r="C48" s="36" t="s">
        <v>424</v>
      </c>
      <c r="D48" s="38">
        <v>15802.220000000001</v>
      </c>
      <c r="E48" s="38">
        <v>19271</v>
      </c>
      <c r="F48" s="39">
        <v>46066</v>
      </c>
      <c r="G48" s="36" t="s">
        <v>118</v>
      </c>
      <c r="H48" s="36" t="s">
        <v>234</v>
      </c>
      <c r="I48" s="36" t="s">
        <v>425</v>
      </c>
      <c r="J48" s="36" t="s">
        <v>236</v>
      </c>
      <c r="K48" s="36" t="s">
        <v>237</v>
      </c>
      <c r="L48" s="40">
        <v>46070</v>
      </c>
      <c r="M48" s="40">
        <v>46070</v>
      </c>
      <c r="N48" s="41">
        <v>46070</v>
      </c>
      <c r="O48" s="36" t="s">
        <v>248</v>
      </c>
      <c r="P48" s="41" t="s">
        <v>239</v>
      </c>
      <c r="Q48" s="36" t="s">
        <v>240</v>
      </c>
      <c r="R48" s="36" t="s">
        <v>45</v>
      </c>
      <c r="S48" s="36" t="s">
        <v>160</v>
      </c>
      <c r="T48" s="36" t="s">
        <v>412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239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242</v>
      </c>
      <c r="AI48" s="38" t="s">
        <v>242</v>
      </c>
      <c r="AJ48" s="38" t="s">
        <v>242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239</v>
      </c>
      <c r="AX48" s="38">
        <v>0</v>
      </c>
      <c r="AY48" s="45">
        <v>60</v>
      </c>
      <c r="AZ48" s="46" t="s">
        <v>243</v>
      </c>
      <c r="BA48" s="47"/>
      <c r="BB48" s="36"/>
      <c r="BC48" s="36"/>
      <c r="BD48" s="36">
        <v>3</v>
      </c>
      <c r="BE48" s="36">
        <v>8</v>
      </c>
      <c r="BF48" s="36" t="s">
        <v>244</v>
      </c>
      <c r="BG48" s="36" t="s">
        <v>112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426</v>
      </c>
      <c r="B49" s="36" t="s">
        <v>427</v>
      </c>
      <c r="C49" s="36" t="s">
        <v>428</v>
      </c>
      <c r="D49" s="38">
        <v>15369.259999999998</v>
      </c>
      <c r="E49" s="38">
        <v>18743</v>
      </c>
      <c r="F49" s="39">
        <v>46066</v>
      </c>
      <c r="G49" s="36" t="s">
        <v>118</v>
      </c>
      <c r="H49" s="36" t="s">
        <v>234</v>
      </c>
      <c r="I49" s="36" t="s">
        <v>429</v>
      </c>
      <c r="J49" s="36" t="s">
        <v>236</v>
      </c>
      <c r="K49" s="36" t="s">
        <v>237</v>
      </c>
      <c r="L49" s="40">
        <v>46070</v>
      </c>
      <c r="M49" s="40">
        <v>46070</v>
      </c>
      <c r="N49" s="41">
        <v>46070</v>
      </c>
      <c r="O49" s="36" t="s">
        <v>417</v>
      </c>
      <c r="P49" s="41" t="s">
        <v>239</v>
      </c>
      <c r="Q49" s="36" t="s">
        <v>240</v>
      </c>
      <c r="R49" s="36" t="s">
        <v>45</v>
      </c>
      <c r="S49" s="36" t="s">
        <v>160</v>
      </c>
      <c r="T49" s="36" t="s">
        <v>412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239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242</v>
      </c>
      <c r="AI49" s="38" t="s">
        <v>242</v>
      </c>
      <c r="AJ49" s="38" t="s">
        <v>242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239</v>
      </c>
      <c r="AX49" s="38">
        <v>0</v>
      </c>
      <c r="AY49" s="45">
        <v>60</v>
      </c>
      <c r="AZ49" s="46" t="s">
        <v>243</v>
      </c>
      <c r="BA49" s="47"/>
      <c r="BB49" s="36"/>
      <c r="BC49" s="36"/>
      <c r="BD49" s="36">
        <v>1</v>
      </c>
      <c r="BE49" s="36">
        <v>13</v>
      </c>
      <c r="BF49" s="36" t="s">
        <v>244</v>
      </c>
      <c r="BG49" s="36" t="s">
        <v>112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430</v>
      </c>
      <c r="B50" s="36" t="s">
        <v>431</v>
      </c>
      <c r="C50" s="36" t="s">
        <v>432</v>
      </c>
      <c r="D50" s="38">
        <v>13352.880000000001</v>
      </c>
      <c r="E50" s="38">
        <v>16284</v>
      </c>
      <c r="F50" s="39">
        <v>46066</v>
      </c>
      <c r="G50" s="36" t="s">
        <v>118</v>
      </c>
      <c r="H50" s="36" t="s">
        <v>234</v>
      </c>
      <c r="I50" s="36" t="s">
        <v>433</v>
      </c>
      <c r="J50" s="36" t="s">
        <v>236</v>
      </c>
      <c r="K50" s="36" t="s">
        <v>237</v>
      </c>
      <c r="L50" s="40">
        <v>46064</v>
      </c>
      <c r="M50" s="40">
        <v>46071</v>
      </c>
      <c r="N50" s="41">
        <v>46071</v>
      </c>
      <c r="O50" s="36" t="s">
        <v>256</v>
      </c>
      <c r="P50" s="41" t="s">
        <v>257</v>
      </c>
      <c r="Q50" s="36" t="s">
        <v>258</v>
      </c>
      <c r="R50" s="36" t="s">
        <v>45</v>
      </c>
      <c r="S50" s="36" t="s">
        <v>160</v>
      </c>
      <c r="T50" s="36" t="s">
        <v>412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242</v>
      </c>
      <c r="AI50" s="38" t="s">
        <v>242</v>
      </c>
      <c r="AJ50" s="38" t="s">
        <v>242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239</v>
      </c>
      <c r="AX50" s="38">
        <v>0</v>
      </c>
      <c r="AY50" s="45">
        <v>60</v>
      </c>
      <c r="AZ50" s="46" t="s">
        <v>243</v>
      </c>
      <c r="BA50" s="47"/>
      <c r="BB50" s="36"/>
      <c r="BC50" s="36"/>
      <c r="BD50" s="36">
        <v>1</v>
      </c>
      <c r="BE50" s="36">
        <v>3</v>
      </c>
      <c r="BF50" s="36" t="s">
        <v>244</v>
      </c>
      <c r="BG50" s="36" t="s">
        <v>112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434</v>
      </c>
      <c r="B51" s="36" t="s">
        <v>435</v>
      </c>
      <c r="C51" s="36" t="s">
        <v>436</v>
      </c>
      <c r="D51" s="38">
        <v>24149.820000000003</v>
      </c>
      <c r="E51" s="38">
        <v>29451</v>
      </c>
      <c r="F51" s="39">
        <v>46066</v>
      </c>
      <c r="G51" s="36" t="s">
        <v>118</v>
      </c>
      <c r="H51" s="36" t="s">
        <v>234</v>
      </c>
      <c r="I51" s="36" t="s">
        <v>437</v>
      </c>
      <c r="J51" s="36" t="s">
        <v>236</v>
      </c>
      <c r="K51" s="36" t="s">
        <v>237</v>
      </c>
      <c r="L51" s="40">
        <v>46072</v>
      </c>
      <c r="M51" s="40">
        <v>46072</v>
      </c>
      <c r="N51" s="41">
        <v>46072</v>
      </c>
      <c r="O51" s="36" t="s">
        <v>417</v>
      </c>
      <c r="P51" s="41" t="s">
        <v>239</v>
      </c>
      <c r="Q51" s="36" t="s">
        <v>240</v>
      </c>
      <c r="R51" s="36" t="s">
        <v>45</v>
      </c>
      <c r="S51" s="36" t="s">
        <v>160</v>
      </c>
      <c r="T51" s="36" t="s">
        <v>412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239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242</v>
      </c>
      <c r="AI51" s="38" t="s">
        <v>242</v>
      </c>
      <c r="AJ51" s="38" t="s">
        <v>242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239</v>
      </c>
      <c r="AX51" s="38">
        <v>0</v>
      </c>
      <c r="AY51" s="45">
        <v>60</v>
      </c>
      <c r="AZ51" s="46" t="s">
        <v>243</v>
      </c>
      <c r="BA51" s="47"/>
      <c r="BB51" s="36"/>
      <c r="BC51" s="36"/>
      <c r="BD51" s="36">
        <v>7</v>
      </c>
      <c r="BE51" s="36">
        <v>11</v>
      </c>
      <c r="BF51" s="36" t="s">
        <v>244</v>
      </c>
      <c r="BG51" s="36" t="s">
        <v>112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438</v>
      </c>
      <c r="B52" s="36" t="s">
        <v>439</v>
      </c>
      <c r="C52" s="36" t="s">
        <v>440</v>
      </c>
      <c r="D52" s="38">
        <v>1687.29</v>
      </c>
      <c r="E52" s="38">
        <v>2081</v>
      </c>
      <c r="F52" s="39">
        <v>46066</v>
      </c>
      <c r="G52" s="36" t="s">
        <v>111</v>
      </c>
      <c r="H52" s="36" t="s">
        <v>303</v>
      </c>
      <c r="I52" s="36" t="s">
        <v>441</v>
      </c>
      <c r="J52" s="36" t="s">
        <v>236</v>
      </c>
      <c r="K52" s="36" t="s">
        <v>237</v>
      </c>
      <c r="L52" s="40">
        <v>46069</v>
      </c>
      <c r="M52" s="40">
        <v>46069</v>
      </c>
      <c r="N52" s="41">
        <v>46069</v>
      </c>
      <c r="O52" s="36" t="s">
        <v>305</v>
      </c>
      <c r="P52" s="41" t="s">
        <v>306</v>
      </c>
      <c r="Q52" s="36" t="s">
        <v>258</v>
      </c>
      <c r="R52" s="36" t="s">
        <v>45</v>
      </c>
      <c r="S52" s="36" t="s">
        <v>307</v>
      </c>
      <c r="T52" s="36" t="s">
        <v>412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239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242</v>
      </c>
      <c r="AI52" s="38" t="s">
        <v>242</v>
      </c>
      <c r="AJ52" s="38" t="s">
        <v>242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239</v>
      </c>
      <c r="AX52" s="38">
        <v>0</v>
      </c>
      <c r="AY52" s="45">
        <v>0</v>
      </c>
      <c r="AZ52" s="46" t="s">
        <v>243</v>
      </c>
      <c r="BA52" s="47"/>
      <c r="BB52" s="36"/>
      <c r="BC52" s="36"/>
      <c r="BD52" s="36">
        <v>0</v>
      </c>
      <c r="BE52" s="36">
        <v>7</v>
      </c>
      <c r="BF52" s="36" t="s">
        <v>244</v>
      </c>
      <c r="BG52" s="36" t="s">
        <v>114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442</v>
      </c>
      <c r="B53" s="36" t="s">
        <v>443</v>
      </c>
      <c r="C53" s="36" t="s">
        <v>444</v>
      </c>
      <c r="D53" s="38">
        <v>1687.29</v>
      </c>
      <c r="E53" s="38">
        <v>2081</v>
      </c>
      <c r="F53" s="39">
        <v>46066</v>
      </c>
      <c r="G53" s="36" t="s">
        <v>111</v>
      </c>
      <c r="H53" s="36" t="s">
        <v>303</v>
      </c>
      <c r="I53" s="36" t="s">
        <v>445</v>
      </c>
      <c r="J53" s="36" t="s">
        <v>236</v>
      </c>
      <c r="K53" s="36" t="s">
        <v>237</v>
      </c>
      <c r="L53" s="40">
        <v>46069</v>
      </c>
      <c r="M53" s="40">
        <v>46069</v>
      </c>
      <c r="N53" s="41">
        <v>46069</v>
      </c>
      <c r="O53" s="36" t="s">
        <v>305</v>
      </c>
      <c r="P53" s="41" t="s">
        <v>306</v>
      </c>
      <c r="Q53" s="36" t="s">
        <v>258</v>
      </c>
      <c r="R53" s="36" t="s">
        <v>45</v>
      </c>
      <c r="S53" s="36" t="s">
        <v>307</v>
      </c>
      <c r="T53" s="36" t="s">
        <v>412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239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242</v>
      </c>
      <c r="AI53" s="38" t="s">
        <v>242</v>
      </c>
      <c r="AJ53" s="38" t="s">
        <v>242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239</v>
      </c>
      <c r="AX53" s="38">
        <v>0</v>
      </c>
      <c r="AY53" s="45">
        <v>0</v>
      </c>
      <c r="AZ53" s="46" t="s">
        <v>243</v>
      </c>
      <c r="BA53" s="47"/>
      <c r="BB53" s="36"/>
      <c r="BC53" s="36"/>
      <c r="BD53" s="36">
        <v>0</v>
      </c>
      <c r="BE53" s="36">
        <v>7</v>
      </c>
      <c r="BF53" s="36" t="s">
        <v>244</v>
      </c>
      <c r="BG53" s="36" t="s">
        <v>114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446</v>
      </c>
      <c r="B54" s="36" t="s">
        <v>447</v>
      </c>
      <c r="C54" s="36" t="s">
        <v>448</v>
      </c>
      <c r="D54" s="38">
        <v>3417.82</v>
      </c>
      <c r="E54" s="38">
        <v>4413</v>
      </c>
      <c r="F54" s="39">
        <v>46066</v>
      </c>
      <c r="G54" s="36" t="s">
        <v>111</v>
      </c>
      <c r="H54" s="36" t="s">
        <v>323</v>
      </c>
      <c r="I54" s="36" t="s">
        <v>449</v>
      </c>
      <c r="J54" s="36" t="s">
        <v>236</v>
      </c>
      <c r="K54" s="36" t="s">
        <v>237</v>
      </c>
      <c r="L54" s="40">
        <v>46069</v>
      </c>
      <c r="M54" s="40">
        <v>46069</v>
      </c>
      <c r="N54" s="41">
        <v>46069</v>
      </c>
      <c r="O54" s="36" t="s">
        <v>305</v>
      </c>
      <c r="P54" s="41" t="s">
        <v>306</v>
      </c>
      <c r="Q54" s="36" t="s">
        <v>258</v>
      </c>
      <c r="R54" s="36" t="s">
        <v>45</v>
      </c>
      <c r="S54" s="36" t="s">
        <v>307</v>
      </c>
      <c r="T54" s="36" t="s">
        <v>412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239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242</v>
      </c>
      <c r="AI54" s="38" t="s">
        <v>242</v>
      </c>
      <c r="AJ54" s="38" t="s">
        <v>242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239</v>
      </c>
      <c r="AX54" s="38">
        <v>882.60000000000036</v>
      </c>
      <c r="AY54" s="45">
        <v>0</v>
      </c>
      <c r="AZ54" s="46" t="s">
        <v>243</v>
      </c>
      <c r="BA54" s="47"/>
      <c r="BB54" s="36"/>
      <c r="BC54" s="36"/>
      <c r="BD54" s="36">
        <v>1</v>
      </c>
      <c r="BE54" s="36">
        <v>4</v>
      </c>
      <c r="BF54" s="36" t="s">
        <v>244</v>
      </c>
      <c r="BG54" s="36" t="s">
        <v>114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450</v>
      </c>
      <c r="B55" s="36" t="s">
        <v>451</v>
      </c>
      <c r="C55" s="36" t="s">
        <v>452</v>
      </c>
      <c r="D55" s="38">
        <v>1687.29</v>
      </c>
      <c r="E55" s="38">
        <v>2081</v>
      </c>
      <c r="F55" s="39">
        <v>46066</v>
      </c>
      <c r="G55" s="36" t="s">
        <v>111</v>
      </c>
      <c r="H55" s="36" t="s">
        <v>303</v>
      </c>
      <c r="I55" s="36" t="s">
        <v>453</v>
      </c>
      <c r="J55" s="36" t="s">
        <v>236</v>
      </c>
      <c r="K55" s="36" t="s">
        <v>237</v>
      </c>
      <c r="L55" s="40">
        <v>46070</v>
      </c>
      <c r="M55" s="40">
        <v>46070</v>
      </c>
      <c r="N55" s="41">
        <v>46070</v>
      </c>
      <c r="O55" s="36" t="s">
        <v>305</v>
      </c>
      <c r="P55" s="41" t="s">
        <v>306</v>
      </c>
      <c r="Q55" s="36" t="s">
        <v>258</v>
      </c>
      <c r="R55" s="36" t="s">
        <v>45</v>
      </c>
      <c r="S55" s="36" t="s">
        <v>307</v>
      </c>
      <c r="T55" s="36" t="s">
        <v>412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239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242</v>
      </c>
      <c r="AI55" s="38" t="s">
        <v>242</v>
      </c>
      <c r="AJ55" s="38" t="s">
        <v>242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239</v>
      </c>
      <c r="AX55" s="38">
        <v>394</v>
      </c>
      <c r="AY55" s="45">
        <v>0</v>
      </c>
      <c r="AZ55" s="46" t="s">
        <v>243</v>
      </c>
      <c r="BA55" s="47"/>
      <c r="BB55" s="36"/>
      <c r="BC55" s="36"/>
      <c r="BD55" s="36">
        <v>0</v>
      </c>
      <c r="BE55" s="36">
        <v>8</v>
      </c>
      <c r="BF55" s="36" t="s">
        <v>244</v>
      </c>
      <c r="BG55" s="36" t="s">
        <v>114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454</v>
      </c>
      <c r="B56" s="36" t="s">
        <v>455</v>
      </c>
      <c r="C56" s="36" t="s">
        <v>456</v>
      </c>
      <c r="D56" s="38">
        <v>1687.29</v>
      </c>
      <c r="E56" s="38">
        <v>2081</v>
      </c>
      <c r="F56" s="39">
        <v>46066</v>
      </c>
      <c r="G56" s="36" t="s">
        <v>111</v>
      </c>
      <c r="H56" s="36" t="s">
        <v>303</v>
      </c>
      <c r="I56" s="36" t="s">
        <v>457</v>
      </c>
      <c r="J56" s="36" t="s">
        <v>236</v>
      </c>
      <c r="K56" s="36" t="s">
        <v>237</v>
      </c>
      <c r="L56" s="40">
        <v>46070</v>
      </c>
      <c r="M56" s="40">
        <v>46070</v>
      </c>
      <c r="N56" s="41">
        <v>46070</v>
      </c>
      <c r="O56" s="36" t="s">
        <v>305</v>
      </c>
      <c r="P56" s="41" t="s">
        <v>306</v>
      </c>
      <c r="Q56" s="36" t="s">
        <v>258</v>
      </c>
      <c r="R56" s="36" t="s">
        <v>45</v>
      </c>
      <c r="S56" s="36" t="s">
        <v>307</v>
      </c>
      <c r="T56" s="36" t="s">
        <v>412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239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242</v>
      </c>
      <c r="AI56" s="38" t="s">
        <v>242</v>
      </c>
      <c r="AJ56" s="38" t="s">
        <v>242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239</v>
      </c>
      <c r="AX56" s="38">
        <v>394</v>
      </c>
      <c r="AY56" s="45">
        <v>0</v>
      </c>
      <c r="AZ56" s="46" t="s">
        <v>243</v>
      </c>
      <c r="BA56" s="47"/>
      <c r="BB56" s="36"/>
      <c r="BC56" s="36"/>
      <c r="BD56" s="36">
        <v>0</v>
      </c>
      <c r="BE56" s="36">
        <v>8</v>
      </c>
      <c r="BF56" s="36" t="s">
        <v>244</v>
      </c>
      <c r="BG56" s="36" t="s">
        <v>114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458</v>
      </c>
      <c r="B57" s="36" t="s">
        <v>459</v>
      </c>
      <c r="C57" s="36" t="s">
        <v>460</v>
      </c>
      <c r="D57" s="38">
        <v>1687.29</v>
      </c>
      <c r="E57" s="38">
        <v>2081</v>
      </c>
      <c r="F57" s="39">
        <v>46066</v>
      </c>
      <c r="G57" s="36" t="s">
        <v>111</v>
      </c>
      <c r="H57" s="36" t="s">
        <v>303</v>
      </c>
      <c r="I57" s="36" t="s">
        <v>461</v>
      </c>
      <c r="J57" s="36" t="s">
        <v>236</v>
      </c>
      <c r="K57" s="36" t="s">
        <v>237</v>
      </c>
      <c r="L57" s="40">
        <v>46070</v>
      </c>
      <c r="M57" s="40">
        <v>46070</v>
      </c>
      <c r="N57" s="41">
        <v>46070</v>
      </c>
      <c r="O57" s="36" t="s">
        <v>305</v>
      </c>
      <c r="P57" s="41" t="s">
        <v>306</v>
      </c>
      <c r="Q57" s="36" t="s">
        <v>258</v>
      </c>
      <c r="R57" s="36" t="s">
        <v>45</v>
      </c>
      <c r="S57" s="36" t="s">
        <v>307</v>
      </c>
      <c r="T57" s="36" t="s">
        <v>412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239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242</v>
      </c>
      <c r="AI57" s="38" t="s">
        <v>242</v>
      </c>
      <c r="AJ57" s="38" t="s">
        <v>242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239</v>
      </c>
      <c r="AX57" s="38">
        <v>394</v>
      </c>
      <c r="AY57" s="45">
        <v>0</v>
      </c>
      <c r="AZ57" s="46" t="s">
        <v>243</v>
      </c>
      <c r="BA57" s="47"/>
      <c r="BB57" s="36"/>
      <c r="BC57" s="36"/>
      <c r="BD57" s="36">
        <v>0</v>
      </c>
      <c r="BE57" s="36">
        <v>8</v>
      </c>
      <c r="BF57" s="36" t="s">
        <v>244</v>
      </c>
      <c r="BG57" s="36" t="s">
        <v>114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462</v>
      </c>
      <c r="B58" s="36" t="s">
        <v>463</v>
      </c>
      <c r="C58" s="36" t="s">
        <v>464</v>
      </c>
      <c r="D58" s="38">
        <v>1687.29</v>
      </c>
      <c r="E58" s="38">
        <v>2081</v>
      </c>
      <c r="F58" s="39">
        <v>46066</v>
      </c>
      <c r="G58" s="36" t="s">
        <v>111</v>
      </c>
      <c r="H58" s="36" t="s">
        <v>303</v>
      </c>
      <c r="I58" s="36" t="s">
        <v>465</v>
      </c>
      <c r="J58" s="36" t="s">
        <v>236</v>
      </c>
      <c r="K58" s="36" t="s">
        <v>237</v>
      </c>
      <c r="L58" s="40">
        <v>46070</v>
      </c>
      <c r="M58" s="40">
        <v>46070</v>
      </c>
      <c r="N58" s="41">
        <v>46070</v>
      </c>
      <c r="O58" s="36" t="s">
        <v>325</v>
      </c>
      <c r="P58" s="41" t="s">
        <v>326</v>
      </c>
      <c r="Q58" s="36" t="s">
        <v>258</v>
      </c>
      <c r="R58" s="36" t="s">
        <v>45</v>
      </c>
      <c r="S58" s="36" t="s">
        <v>307</v>
      </c>
      <c r="T58" s="36" t="s">
        <v>412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239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242</v>
      </c>
      <c r="AI58" s="38" t="s">
        <v>242</v>
      </c>
      <c r="AJ58" s="38" t="s">
        <v>242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239</v>
      </c>
      <c r="AX58" s="38">
        <v>394</v>
      </c>
      <c r="AY58" s="45">
        <v>0</v>
      </c>
      <c r="AZ58" s="46" t="s">
        <v>243</v>
      </c>
      <c r="BA58" s="47"/>
      <c r="BB58" s="36"/>
      <c r="BC58" s="36"/>
      <c r="BD58" s="36">
        <v>0</v>
      </c>
      <c r="BE58" s="36">
        <v>8</v>
      </c>
      <c r="BF58" s="36" t="s">
        <v>244</v>
      </c>
      <c r="BG58" s="36" t="s">
        <v>114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466</v>
      </c>
      <c r="B59" s="36" t="s">
        <v>467</v>
      </c>
      <c r="C59" s="36" t="s">
        <v>468</v>
      </c>
      <c r="D59" s="38">
        <v>1687.29</v>
      </c>
      <c r="E59" s="38">
        <v>2081</v>
      </c>
      <c r="F59" s="39">
        <v>46066</v>
      </c>
      <c r="G59" s="36" t="s">
        <v>111</v>
      </c>
      <c r="H59" s="36" t="s">
        <v>303</v>
      </c>
      <c r="I59" s="36" t="s">
        <v>469</v>
      </c>
      <c r="J59" s="36" t="s">
        <v>236</v>
      </c>
      <c r="K59" s="36" t="s">
        <v>237</v>
      </c>
      <c r="L59" s="40">
        <v>46070</v>
      </c>
      <c r="M59" s="40">
        <v>46070</v>
      </c>
      <c r="N59" s="41">
        <v>46070</v>
      </c>
      <c r="O59" s="36" t="s">
        <v>325</v>
      </c>
      <c r="P59" s="41" t="s">
        <v>326</v>
      </c>
      <c r="Q59" s="36" t="s">
        <v>258</v>
      </c>
      <c r="R59" s="36" t="s">
        <v>45</v>
      </c>
      <c r="S59" s="36" t="s">
        <v>307</v>
      </c>
      <c r="T59" s="36" t="s">
        <v>412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239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242</v>
      </c>
      <c r="AI59" s="38" t="s">
        <v>242</v>
      </c>
      <c r="AJ59" s="38" t="s">
        <v>242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239</v>
      </c>
      <c r="AX59" s="38">
        <v>394</v>
      </c>
      <c r="AY59" s="45">
        <v>0</v>
      </c>
      <c r="AZ59" s="46" t="s">
        <v>243</v>
      </c>
      <c r="BA59" s="47"/>
      <c r="BB59" s="36"/>
      <c r="BC59" s="36"/>
      <c r="BD59" s="36">
        <v>1</v>
      </c>
      <c r="BE59" s="36">
        <v>22</v>
      </c>
      <c r="BF59" s="36" t="s">
        <v>244</v>
      </c>
      <c r="BG59" s="36" t="s">
        <v>114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470</v>
      </c>
      <c r="B60" s="36" t="s">
        <v>471</v>
      </c>
      <c r="C60" s="36" t="s">
        <v>472</v>
      </c>
      <c r="D60" s="38">
        <v>1687.29</v>
      </c>
      <c r="E60" s="38">
        <v>2081</v>
      </c>
      <c r="F60" s="39">
        <v>46066</v>
      </c>
      <c r="G60" s="36" t="s">
        <v>111</v>
      </c>
      <c r="H60" s="36" t="s">
        <v>303</v>
      </c>
      <c r="I60" s="36" t="s">
        <v>473</v>
      </c>
      <c r="J60" s="36" t="s">
        <v>236</v>
      </c>
      <c r="K60" s="36" t="s">
        <v>237</v>
      </c>
      <c r="L60" s="40">
        <v>46071</v>
      </c>
      <c r="M60" s="40">
        <v>46071</v>
      </c>
      <c r="N60" s="41">
        <v>46071</v>
      </c>
      <c r="O60" s="36" t="s">
        <v>305</v>
      </c>
      <c r="P60" s="41" t="s">
        <v>306</v>
      </c>
      <c r="Q60" s="36" t="s">
        <v>258</v>
      </c>
      <c r="R60" s="36" t="s">
        <v>45</v>
      </c>
      <c r="S60" s="36" t="s">
        <v>307</v>
      </c>
      <c r="T60" s="36" t="s">
        <v>412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239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242</v>
      </c>
      <c r="AI60" s="38" t="s">
        <v>242</v>
      </c>
      <c r="AJ60" s="38" t="s">
        <v>242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239</v>
      </c>
      <c r="AX60" s="38">
        <v>394</v>
      </c>
      <c r="AY60" s="45">
        <v>0</v>
      </c>
      <c r="AZ60" s="46" t="s">
        <v>243</v>
      </c>
      <c r="BA60" s="47"/>
      <c r="BB60" s="36"/>
      <c r="BC60" s="36"/>
      <c r="BD60" s="36">
        <v>0</v>
      </c>
      <c r="BE60" s="36">
        <v>7</v>
      </c>
      <c r="BF60" s="36" t="s">
        <v>244</v>
      </c>
      <c r="BG60" s="36" t="s">
        <v>114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474</v>
      </c>
      <c r="B61" s="36" t="s">
        <v>475</v>
      </c>
      <c r="C61" s="36" t="s">
        <v>476</v>
      </c>
      <c r="D61" s="38">
        <v>1687.29</v>
      </c>
      <c r="E61" s="38">
        <v>2081</v>
      </c>
      <c r="F61" s="39">
        <v>46066</v>
      </c>
      <c r="G61" s="36" t="s">
        <v>111</v>
      </c>
      <c r="H61" s="36" t="s">
        <v>303</v>
      </c>
      <c r="I61" s="36" t="s">
        <v>477</v>
      </c>
      <c r="J61" s="36" t="s">
        <v>236</v>
      </c>
      <c r="K61" s="36" t="s">
        <v>237</v>
      </c>
      <c r="L61" s="40">
        <v>46071</v>
      </c>
      <c r="M61" s="40">
        <v>46071</v>
      </c>
      <c r="N61" s="41">
        <v>46071</v>
      </c>
      <c r="O61" s="36" t="s">
        <v>305</v>
      </c>
      <c r="P61" s="41" t="s">
        <v>306</v>
      </c>
      <c r="Q61" s="36" t="s">
        <v>258</v>
      </c>
      <c r="R61" s="36" t="s">
        <v>45</v>
      </c>
      <c r="S61" s="36" t="s">
        <v>307</v>
      </c>
      <c r="T61" s="36" t="s">
        <v>412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239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242</v>
      </c>
      <c r="AI61" s="38" t="s">
        <v>242</v>
      </c>
      <c r="AJ61" s="38" t="s">
        <v>242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239</v>
      </c>
      <c r="AX61" s="38">
        <v>394</v>
      </c>
      <c r="AY61" s="45">
        <v>0</v>
      </c>
      <c r="AZ61" s="46" t="s">
        <v>243</v>
      </c>
      <c r="BA61" s="47"/>
      <c r="BB61" s="36"/>
      <c r="BC61" s="36"/>
      <c r="BD61" s="36">
        <v>0</v>
      </c>
      <c r="BE61" s="36">
        <v>7</v>
      </c>
      <c r="BF61" s="36" t="s">
        <v>244</v>
      </c>
      <c r="BG61" s="36" t="s">
        <v>114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478</v>
      </c>
      <c r="B62" s="36" t="s">
        <v>479</v>
      </c>
      <c r="C62" s="36" t="s">
        <v>480</v>
      </c>
      <c r="D62" s="38">
        <v>1687.29</v>
      </c>
      <c r="E62" s="38">
        <v>2081</v>
      </c>
      <c r="F62" s="39">
        <v>46066</v>
      </c>
      <c r="G62" s="36" t="s">
        <v>111</v>
      </c>
      <c r="H62" s="36" t="s">
        <v>303</v>
      </c>
      <c r="I62" s="36" t="s">
        <v>481</v>
      </c>
      <c r="J62" s="36" t="s">
        <v>236</v>
      </c>
      <c r="K62" s="36" t="s">
        <v>237</v>
      </c>
      <c r="L62" s="40">
        <v>46071</v>
      </c>
      <c r="M62" s="40">
        <v>46071</v>
      </c>
      <c r="N62" s="41">
        <v>46071</v>
      </c>
      <c r="O62" s="36" t="s">
        <v>305</v>
      </c>
      <c r="P62" s="41" t="s">
        <v>306</v>
      </c>
      <c r="Q62" s="36" t="s">
        <v>258</v>
      </c>
      <c r="R62" s="36" t="s">
        <v>45</v>
      </c>
      <c r="S62" s="36" t="s">
        <v>307</v>
      </c>
      <c r="T62" s="36" t="s">
        <v>412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239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242</v>
      </c>
      <c r="AI62" s="38" t="s">
        <v>242</v>
      </c>
      <c r="AJ62" s="38" t="s">
        <v>242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239</v>
      </c>
      <c r="AX62" s="38">
        <v>394</v>
      </c>
      <c r="AY62" s="45">
        <v>0</v>
      </c>
      <c r="AZ62" s="46" t="s">
        <v>243</v>
      </c>
      <c r="BA62" s="47"/>
      <c r="BB62" s="36"/>
      <c r="BC62" s="36"/>
      <c r="BD62" s="36">
        <v>0</v>
      </c>
      <c r="BE62" s="36">
        <v>7</v>
      </c>
      <c r="BF62" s="36" t="s">
        <v>244</v>
      </c>
      <c r="BG62" s="36" t="s">
        <v>114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482</v>
      </c>
      <c r="B63" s="36" t="s">
        <v>483</v>
      </c>
      <c r="C63" s="36" t="s">
        <v>484</v>
      </c>
      <c r="D63" s="38">
        <v>1687.29</v>
      </c>
      <c r="E63" s="38">
        <v>2081</v>
      </c>
      <c r="F63" s="39">
        <v>46066</v>
      </c>
      <c r="G63" s="36" t="s">
        <v>111</v>
      </c>
      <c r="H63" s="36" t="s">
        <v>303</v>
      </c>
      <c r="I63" s="36" t="s">
        <v>485</v>
      </c>
      <c r="J63" s="36" t="s">
        <v>236</v>
      </c>
      <c r="K63" s="36" t="s">
        <v>237</v>
      </c>
      <c r="L63" s="40">
        <v>46071</v>
      </c>
      <c r="M63" s="40">
        <v>46071</v>
      </c>
      <c r="N63" s="41">
        <v>46071</v>
      </c>
      <c r="O63" s="36" t="s">
        <v>325</v>
      </c>
      <c r="P63" s="41" t="s">
        <v>326</v>
      </c>
      <c r="Q63" s="36" t="s">
        <v>258</v>
      </c>
      <c r="R63" s="36" t="s">
        <v>45</v>
      </c>
      <c r="S63" s="36" t="s">
        <v>307</v>
      </c>
      <c r="T63" s="36" t="s">
        <v>412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239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242</v>
      </c>
      <c r="AI63" s="38" t="s">
        <v>242</v>
      </c>
      <c r="AJ63" s="38" t="s">
        <v>242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239</v>
      </c>
      <c r="AX63" s="38">
        <v>394</v>
      </c>
      <c r="AY63" s="45">
        <v>0</v>
      </c>
      <c r="AZ63" s="46" t="s">
        <v>243</v>
      </c>
      <c r="BA63" s="47"/>
      <c r="BB63" s="36"/>
      <c r="BC63" s="36"/>
      <c r="BD63" s="36">
        <v>0</v>
      </c>
      <c r="BE63" s="36">
        <v>7</v>
      </c>
      <c r="BF63" s="36" t="s">
        <v>244</v>
      </c>
      <c r="BG63" s="36" t="s">
        <v>114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486</v>
      </c>
      <c r="B64" s="36" t="s">
        <v>487</v>
      </c>
      <c r="C64" s="36" t="s">
        <v>488</v>
      </c>
      <c r="D64" s="38">
        <v>1687.29</v>
      </c>
      <c r="E64" s="38">
        <v>2081</v>
      </c>
      <c r="F64" s="39">
        <v>46066</v>
      </c>
      <c r="G64" s="36" t="s">
        <v>111</v>
      </c>
      <c r="H64" s="36" t="s">
        <v>303</v>
      </c>
      <c r="I64" s="36" t="s">
        <v>489</v>
      </c>
      <c r="J64" s="36" t="s">
        <v>236</v>
      </c>
      <c r="K64" s="36" t="s">
        <v>237</v>
      </c>
      <c r="L64" s="40">
        <v>46071</v>
      </c>
      <c r="M64" s="40">
        <v>46071</v>
      </c>
      <c r="N64" s="41">
        <v>46071</v>
      </c>
      <c r="O64" s="36" t="s">
        <v>325</v>
      </c>
      <c r="P64" s="41" t="s">
        <v>326</v>
      </c>
      <c r="Q64" s="36" t="s">
        <v>258</v>
      </c>
      <c r="R64" s="36" t="s">
        <v>45</v>
      </c>
      <c r="S64" s="36" t="s">
        <v>307</v>
      </c>
      <c r="T64" s="36" t="s">
        <v>412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239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242</v>
      </c>
      <c r="AI64" s="38" t="s">
        <v>242</v>
      </c>
      <c r="AJ64" s="38" t="s">
        <v>242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239</v>
      </c>
      <c r="AX64" s="38">
        <v>394</v>
      </c>
      <c r="AY64" s="45">
        <v>0</v>
      </c>
      <c r="AZ64" s="46" t="s">
        <v>243</v>
      </c>
      <c r="BA64" s="47"/>
      <c r="BB64" s="36"/>
      <c r="BC64" s="36"/>
      <c r="BD64" s="36">
        <v>0</v>
      </c>
      <c r="BE64" s="36">
        <v>7</v>
      </c>
      <c r="BF64" s="36" t="s">
        <v>244</v>
      </c>
      <c r="BG64" s="36" t="s">
        <v>114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490</v>
      </c>
      <c r="B65" s="36" t="s">
        <v>491</v>
      </c>
      <c r="C65" s="36" t="s">
        <v>492</v>
      </c>
      <c r="D65" s="38">
        <v>1687.29</v>
      </c>
      <c r="E65" s="38">
        <v>2081</v>
      </c>
      <c r="F65" s="39">
        <v>46066</v>
      </c>
      <c r="G65" s="36" t="s">
        <v>111</v>
      </c>
      <c r="H65" s="36" t="s">
        <v>303</v>
      </c>
      <c r="I65" s="36" t="s">
        <v>493</v>
      </c>
      <c r="J65" s="36" t="s">
        <v>236</v>
      </c>
      <c r="K65" s="36" t="s">
        <v>237</v>
      </c>
      <c r="L65" s="40">
        <v>46072</v>
      </c>
      <c r="M65" s="40">
        <v>46072</v>
      </c>
      <c r="N65" s="41">
        <v>46072</v>
      </c>
      <c r="O65" s="36" t="s">
        <v>325</v>
      </c>
      <c r="P65" s="41" t="s">
        <v>326</v>
      </c>
      <c r="Q65" s="36" t="s">
        <v>258</v>
      </c>
      <c r="R65" s="36" t="s">
        <v>45</v>
      </c>
      <c r="S65" s="36" t="s">
        <v>307</v>
      </c>
      <c r="T65" s="36" t="s">
        <v>412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239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242</v>
      </c>
      <c r="AI65" s="38" t="s">
        <v>242</v>
      </c>
      <c r="AJ65" s="38" t="s">
        <v>242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239</v>
      </c>
      <c r="AX65" s="38">
        <v>394</v>
      </c>
      <c r="AY65" s="45">
        <v>0</v>
      </c>
      <c r="AZ65" s="46" t="s">
        <v>243</v>
      </c>
      <c r="BA65" s="47"/>
      <c r="BB65" s="36"/>
      <c r="BC65" s="36"/>
      <c r="BD65" s="36">
        <v>0</v>
      </c>
      <c r="BE65" s="36">
        <v>14</v>
      </c>
      <c r="BF65" s="36" t="s">
        <v>244</v>
      </c>
      <c r="BG65" s="36" t="s">
        <v>114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494</v>
      </c>
      <c r="B66" s="36" t="s">
        <v>495</v>
      </c>
      <c r="C66" s="36" t="s">
        <v>496</v>
      </c>
      <c r="D66" s="38">
        <v>1687.29</v>
      </c>
      <c r="E66" s="38">
        <v>2081</v>
      </c>
      <c r="F66" s="39">
        <v>46066</v>
      </c>
      <c r="G66" s="36" t="s">
        <v>111</v>
      </c>
      <c r="H66" s="36" t="s">
        <v>303</v>
      </c>
      <c r="I66" s="36" t="s">
        <v>497</v>
      </c>
      <c r="J66" s="36" t="s">
        <v>236</v>
      </c>
      <c r="K66" s="36" t="s">
        <v>237</v>
      </c>
      <c r="L66" s="40">
        <v>46072</v>
      </c>
      <c r="M66" s="40">
        <v>46072</v>
      </c>
      <c r="N66" s="41">
        <v>46072</v>
      </c>
      <c r="O66" s="36" t="s">
        <v>325</v>
      </c>
      <c r="P66" s="41" t="s">
        <v>326</v>
      </c>
      <c r="Q66" s="36" t="s">
        <v>258</v>
      </c>
      <c r="R66" s="36" t="s">
        <v>45</v>
      </c>
      <c r="S66" s="36" t="s">
        <v>307</v>
      </c>
      <c r="T66" s="36" t="s">
        <v>412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239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242</v>
      </c>
      <c r="AI66" s="38" t="s">
        <v>242</v>
      </c>
      <c r="AJ66" s="38" t="s">
        <v>242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239</v>
      </c>
      <c r="AX66" s="38">
        <v>394</v>
      </c>
      <c r="AY66" s="45">
        <v>0</v>
      </c>
      <c r="AZ66" s="46" t="s">
        <v>243</v>
      </c>
      <c r="BA66" s="47"/>
      <c r="BB66" s="36"/>
      <c r="BC66" s="36"/>
      <c r="BD66" s="36">
        <v>0</v>
      </c>
      <c r="BE66" s="36">
        <v>14</v>
      </c>
      <c r="BF66" s="36" t="s">
        <v>244</v>
      </c>
      <c r="BG66" s="36" t="s">
        <v>114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498</v>
      </c>
      <c r="B67" s="36" t="s">
        <v>499</v>
      </c>
      <c r="C67" s="36" t="s">
        <v>500</v>
      </c>
      <c r="D67" s="38">
        <v>1687.29</v>
      </c>
      <c r="E67" s="38">
        <v>2081</v>
      </c>
      <c r="F67" s="39">
        <v>46066</v>
      </c>
      <c r="G67" s="36" t="s">
        <v>111</v>
      </c>
      <c r="H67" s="36" t="s">
        <v>303</v>
      </c>
      <c r="I67" s="36" t="s">
        <v>501</v>
      </c>
      <c r="J67" s="36" t="s">
        <v>236</v>
      </c>
      <c r="K67" s="36" t="s">
        <v>237</v>
      </c>
      <c r="L67" s="40">
        <v>46072</v>
      </c>
      <c r="M67" s="40">
        <v>46072</v>
      </c>
      <c r="N67" s="41">
        <v>46072</v>
      </c>
      <c r="O67" s="36" t="s">
        <v>305</v>
      </c>
      <c r="P67" s="41" t="s">
        <v>306</v>
      </c>
      <c r="Q67" s="36" t="s">
        <v>258</v>
      </c>
      <c r="R67" s="36" t="s">
        <v>45</v>
      </c>
      <c r="S67" s="36" t="s">
        <v>307</v>
      </c>
      <c r="T67" s="36" t="s">
        <v>412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239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242</v>
      </c>
      <c r="AI67" s="38" t="s">
        <v>242</v>
      </c>
      <c r="AJ67" s="38" t="s">
        <v>242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239</v>
      </c>
      <c r="AX67" s="38">
        <v>394</v>
      </c>
      <c r="AY67" s="45">
        <v>0</v>
      </c>
      <c r="AZ67" s="46" t="s">
        <v>243</v>
      </c>
      <c r="BA67" s="47"/>
      <c r="BB67" s="36"/>
      <c r="BC67" s="36"/>
      <c r="BD67" s="36">
        <v>0</v>
      </c>
      <c r="BE67" s="36">
        <v>14</v>
      </c>
      <c r="BF67" s="36" t="s">
        <v>244</v>
      </c>
      <c r="BG67" s="36" t="s">
        <v>114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502</v>
      </c>
      <c r="B68" s="36" t="s">
        <v>503</v>
      </c>
      <c r="C68" s="36" t="s">
        <v>504</v>
      </c>
      <c r="D68" s="38">
        <v>1687.29</v>
      </c>
      <c r="E68" s="38">
        <v>2081</v>
      </c>
      <c r="F68" s="39">
        <v>46066</v>
      </c>
      <c r="G68" s="36" t="s">
        <v>111</v>
      </c>
      <c r="H68" s="36" t="s">
        <v>303</v>
      </c>
      <c r="I68" s="36" t="s">
        <v>505</v>
      </c>
      <c r="J68" s="36" t="s">
        <v>236</v>
      </c>
      <c r="K68" s="36" t="s">
        <v>237</v>
      </c>
      <c r="L68" s="40">
        <v>46073</v>
      </c>
      <c r="M68" s="40">
        <v>46073</v>
      </c>
      <c r="N68" s="41">
        <v>46073</v>
      </c>
      <c r="O68" s="36" t="s">
        <v>305</v>
      </c>
      <c r="P68" s="41" t="s">
        <v>306</v>
      </c>
      <c r="Q68" s="36" t="s">
        <v>258</v>
      </c>
      <c r="R68" s="36" t="s">
        <v>45</v>
      </c>
      <c r="S68" s="36" t="s">
        <v>307</v>
      </c>
      <c r="T68" s="36" t="s">
        <v>412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239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242</v>
      </c>
      <c r="AI68" s="38" t="s">
        <v>242</v>
      </c>
      <c r="AJ68" s="38" t="s">
        <v>242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239</v>
      </c>
      <c r="AX68" s="38">
        <v>394</v>
      </c>
      <c r="AY68" s="45">
        <v>0</v>
      </c>
      <c r="AZ68" s="46" t="s">
        <v>243</v>
      </c>
      <c r="BA68" s="47"/>
      <c r="BB68" s="36"/>
      <c r="BC68" s="36"/>
      <c r="BD68" s="36">
        <v>0</v>
      </c>
      <c r="BE68" s="36">
        <v>19</v>
      </c>
      <c r="BF68" s="36" t="s">
        <v>244</v>
      </c>
      <c r="BG68" s="36" t="s">
        <v>114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506</v>
      </c>
      <c r="B69" s="36" t="s">
        <v>507</v>
      </c>
      <c r="C69" s="36" t="s">
        <v>508</v>
      </c>
      <c r="D69" s="38">
        <v>1687.29</v>
      </c>
      <c r="E69" s="38">
        <v>2081</v>
      </c>
      <c r="F69" s="39">
        <v>46066</v>
      </c>
      <c r="G69" s="36" t="s">
        <v>111</v>
      </c>
      <c r="H69" s="36" t="s">
        <v>303</v>
      </c>
      <c r="I69" s="36" t="s">
        <v>509</v>
      </c>
      <c r="J69" s="36" t="s">
        <v>236</v>
      </c>
      <c r="K69" s="36" t="s">
        <v>237</v>
      </c>
      <c r="L69" s="40">
        <v>46073</v>
      </c>
      <c r="M69" s="40">
        <v>46073</v>
      </c>
      <c r="N69" s="41">
        <v>46073</v>
      </c>
      <c r="O69" s="36" t="s">
        <v>305</v>
      </c>
      <c r="P69" s="41" t="s">
        <v>306</v>
      </c>
      <c r="Q69" s="36" t="s">
        <v>258</v>
      </c>
      <c r="R69" s="36" t="s">
        <v>45</v>
      </c>
      <c r="S69" s="36" t="s">
        <v>307</v>
      </c>
      <c r="T69" s="36" t="s">
        <v>412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239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242</v>
      </c>
      <c r="AI69" s="38" t="s">
        <v>242</v>
      </c>
      <c r="AJ69" s="38" t="s">
        <v>242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239</v>
      </c>
      <c r="AX69" s="38">
        <v>394</v>
      </c>
      <c r="AY69" s="45">
        <v>0</v>
      </c>
      <c r="AZ69" s="46" t="s">
        <v>243</v>
      </c>
      <c r="BA69" s="47"/>
      <c r="BB69" s="36"/>
      <c r="BC69" s="36"/>
      <c r="BD69" s="36">
        <v>0</v>
      </c>
      <c r="BE69" s="36">
        <v>13</v>
      </c>
      <c r="BF69" s="36" t="s">
        <v>244</v>
      </c>
      <c r="BG69" s="36" t="s">
        <v>114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510</v>
      </c>
      <c r="C70" s="36" t="s">
        <v>511</v>
      </c>
      <c r="D70" s="38"/>
      <c r="E70" s="38"/>
      <c r="F70" s="39">
        <v>45931</v>
      </c>
      <c r="G70" s="36" t="s">
        <v>120</v>
      </c>
      <c r="H70" s="36" t="s">
        <v>512</v>
      </c>
      <c r="I70" s="36" t="s">
        <v>513</v>
      </c>
      <c r="J70" s="36" t="s">
        <v>236</v>
      </c>
      <c r="K70" s="36" t="s">
        <v>237</v>
      </c>
      <c r="L70" s="40">
        <v>46077</v>
      </c>
      <c r="M70" s="40">
        <v>46077</v>
      </c>
      <c r="N70" s="41">
        <v>46077</v>
      </c>
      <c r="O70" s="36" t="s">
        <v>417</v>
      </c>
      <c r="P70" s="41" t="s">
        <v>239</v>
      </c>
      <c r="Q70" s="36" t="s">
        <v>240</v>
      </c>
      <c r="R70" s="36" t="s">
        <v>236</v>
      </c>
      <c r="S70" s="36" t="s">
        <v>236</v>
      </c>
      <c r="T70" s="36" t="s">
        <v>514</v>
      </c>
      <c r="U70" s="34"/>
      <c r="V70" s="34"/>
      <c r="W70" s="34"/>
      <c r="X70" s="34"/>
      <c r="Y70" s="38">
        <v>0</v>
      </c>
      <c r="Z70" s="38">
        <v>0</v>
      </c>
      <c r="AA70" s="42" t="s">
        <v>239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242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239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244</v>
      </c>
      <c r="BG70" s="36" t="s">
        <v>121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515</v>
      </c>
      <c r="B71" s="36" t="s">
        <v>516</v>
      </c>
      <c r="C71" s="36" t="s">
        <v>517</v>
      </c>
      <c r="D71" s="38">
        <v>10415.64</v>
      </c>
      <c r="E71" s="38">
        <v>12702</v>
      </c>
      <c r="F71" s="39">
        <v>46066</v>
      </c>
      <c r="G71" s="36" t="s">
        <v>118</v>
      </c>
      <c r="H71" s="36" t="s">
        <v>234</v>
      </c>
      <c r="I71" s="36" t="s">
        <v>518</v>
      </c>
      <c r="J71" s="36" t="s">
        <v>236</v>
      </c>
      <c r="K71" s="36" t="s">
        <v>237</v>
      </c>
      <c r="L71" s="40">
        <v>46076</v>
      </c>
      <c r="M71" s="40">
        <v>46076</v>
      </c>
      <c r="N71" s="41">
        <v>46076</v>
      </c>
      <c r="O71" s="36" t="s">
        <v>248</v>
      </c>
      <c r="P71" s="41" t="s">
        <v>239</v>
      </c>
      <c r="Q71" s="36" t="s">
        <v>240</v>
      </c>
      <c r="R71" s="36" t="s">
        <v>45</v>
      </c>
      <c r="S71" s="36" t="s">
        <v>160</v>
      </c>
      <c r="T71" s="36" t="s">
        <v>514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239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242</v>
      </c>
      <c r="AI71" s="38" t="s">
        <v>242</v>
      </c>
      <c r="AJ71" s="38" t="s">
        <v>242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239</v>
      </c>
      <c r="AX71" s="38">
        <v>0</v>
      </c>
      <c r="AY71" s="45">
        <v>0</v>
      </c>
      <c r="AZ71" s="46" t="s">
        <v>243</v>
      </c>
      <c r="BA71" s="47"/>
      <c r="BB71" s="36"/>
      <c r="BC71" s="36"/>
      <c r="BD71" s="36">
        <v>0</v>
      </c>
      <c r="BE71" s="36">
        <v>7</v>
      </c>
      <c r="BF71" s="36" t="s">
        <v>244</v>
      </c>
      <c r="BG71" s="36" t="s">
        <v>112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519</v>
      </c>
      <c r="B72" s="36" t="s">
        <v>520</v>
      </c>
      <c r="C72" s="36" t="s">
        <v>521</v>
      </c>
      <c r="D72" s="38">
        <v>9765.3799999999992</v>
      </c>
      <c r="E72" s="38">
        <v>11909</v>
      </c>
      <c r="F72" s="39">
        <v>46066</v>
      </c>
      <c r="G72" s="36" t="s">
        <v>118</v>
      </c>
      <c r="H72" s="36" t="s">
        <v>234</v>
      </c>
      <c r="I72" s="36" t="s">
        <v>522</v>
      </c>
      <c r="J72" s="36" t="s">
        <v>236</v>
      </c>
      <c r="K72" s="36" t="s">
        <v>237</v>
      </c>
      <c r="L72" s="40">
        <v>46076</v>
      </c>
      <c r="M72" s="40">
        <v>46076</v>
      </c>
      <c r="N72" s="41">
        <v>46076</v>
      </c>
      <c r="O72" s="36" t="s">
        <v>256</v>
      </c>
      <c r="P72" s="41" t="s">
        <v>257</v>
      </c>
      <c r="Q72" s="36" t="s">
        <v>258</v>
      </c>
      <c r="R72" s="36" t="s">
        <v>45</v>
      </c>
      <c r="S72" s="36" t="s">
        <v>160</v>
      </c>
      <c r="T72" s="36" t="s">
        <v>514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239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242</v>
      </c>
      <c r="AI72" s="38" t="s">
        <v>242</v>
      </c>
      <c r="AJ72" s="38" t="s">
        <v>242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239</v>
      </c>
      <c r="AX72" s="38">
        <v>0</v>
      </c>
      <c r="AY72" s="45">
        <v>0</v>
      </c>
      <c r="AZ72" s="46" t="s">
        <v>243</v>
      </c>
      <c r="BA72" s="47"/>
      <c r="BB72" s="36"/>
      <c r="BC72" s="36"/>
      <c r="BD72" s="36">
        <v>1</v>
      </c>
      <c r="BE72" s="36">
        <v>3</v>
      </c>
      <c r="BF72" s="36" t="s">
        <v>244</v>
      </c>
      <c r="BG72" s="36" t="s">
        <v>112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523</v>
      </c>
      <c r="B73" s="36" t="s">
        <v>524</v>
      </c>
      <c r="C73" s="36" t="s">
        <v>525</v>
      </c>
      <c r="D73" s="38">
        <v>9765.3799999999992</v>
      </c>
      <c r="E73" s="38">
        <v>11909</v>
      </c>
      <c r="F73" s="39">
        <v>46066</v>
      </c>
      <c r="G73" s="36" t="s">
        <v>118</v>
      </c>
      <c r="H73" s="36" t="s">
        <v>234</v>
      </c>
      <c r="I73" s="36" t="s">
        <v>526</v>
      </c>
      <c r="J73" s="36" t="s">
        <v>236</v>
      </c>
      <c r="K73" s="36" t="s">
        <v>237</v>
      </c>
      <c r="L73" s="40">
        <v>46076</v>
      </c>
      <c r="M73" s="40">
        <v>46077</v>
      </c>
      <c r="N73" s="41">
        <v>46077</v>
      </c>
      <c r="O73" s="36" t="s">
        <v>248</v>
      </c>
      <c r="P73" s="41" t="s">
        <v>239</v>
      </c>
      <c r="Q73" s="36" t="s">
        <v>240</v>
      </c>
      <c r="R73" s="36" t="s">
        <v>45</v>
      </c>
      <c r="S73" s="36" t="s">
        <v>160</v>
      </c>
      <c r="T73" s="36" t="s">
        <v>514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239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242</v>
      </c>
      <c r="AI73" s="38" t="s">
        <v>242</v>
      </c>
      <c r="AJ73" s="38" t="s">
        <v>242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239</v>
      </c>
      <c r="AX73" s="38">
        <v>0</v>
      </c>
      <c r="AY73" s="45">
        <v>0</v>
      </c>
      <c r="AZ73" s="46" t="s">
        <v>243</v>
      </c>
      <c r="BA73" s="47"/>
      <c r="BB73" s="36"/>
      <c r="BC73" s="36"/>
      <c r="BD73" s="36">
        <v>1</v>
      </c>
      <c r="BE73" s="36">
        <v>2</v>
      </c>
      <c r="BF73" s="36" t="s">
        <v>244</v>
      </c>
      <c r="BG73" s="36" t="s">
        <v>112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527</v>
      </c>
      <c r="B74" s="36" t="s">
        <v>528</v>
      </c>
      <c r="C74" s="36" t="s">
        <v>529</v>
      </c>
      <c r="D74" s="38">
        <v>1687.29</v>
      </c>
      <c r="E74" s="38">
        <v>2081</v>
      </c>
      <c r="F74" s="39">
        <v>46066</v>
      </c>
      <c r="G74" s="36" t="s">
        <v>111</v>
      </c>
      <c r="H74" s="36" t="s">
        <v>303</v>
      </c>
      <c r="I74" s="36" t="s">
        <v>530</v>
      </c>
      <c r="J74" s="36" t="s">
        <v>236</v>
      </c>
      <c r="K74" s="36" t="s">
        <v>237</v>
      </c>
      <c r="L74" s="40">
        <v>46077</v>
      </c>
      <c r="M74" s="40">
        <v>46077</v>
      </c>
      <c r="N74" s="41">
        <v>46077</v>
      </c>
      <c r="O74" s="36" t="s">
        <v>305</v>
      </c>
      <c r="P74" s="41" t="s">
        <v>306</v>
      </c>
      <c r="Q74" s="36" t="s">
        <v>258</v>
      </c>
      <c r="R74" s="36" t="s">
        <v>45</v>
      </c>
      <c r="S74" s="36" t="s">
        <v>307</v>
      </c>
      <c r="T74" s="36" t="s">
        <v>514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239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242</v>
      </c>
      <c r="AI74" s="38" t="s">
        <v>242</v>
      </c>
      <c r="AJ74" s="38" t="s">
        <v>242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239</v>
      </c>
      <c r="AX74" s="38">
        <v>394</v>
      </c>
      <c r="AY74" s="45">
        <v>0</v>
      </c>
      <c r="AZ74" s="46" t="s">
        <v>243</v>
      </c>
      <c r="BA74" s="47"/>
      <c r="BB74" s="36"/>
      <c r="BC74" s="36"/>
      <c r="BD74" s="36">
        <v>0</v>
      </c>
      <c r="BE74" s="36">
        <v>9</v>
      </c>
      <c r="BF74" s="36" t="s">
        <v>244</v>
      </c>
      <c r="BG74" s="36" t="s">
        <v>114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531</v>
      </c>
      <c r="B75" s="36" t="s">
        <v>532</v>
      </c>
      <c r="C75" s="36" t="s">
        <v>533</v>
      </c>
      <c r="D75" s="38">
        <v>1687.29</v>
      </c>
      <c r="E75" s="38">
        <v>2081</v>
      </c>
      <c r="F75" s="39">
        <v>46066</v>
      </c>
      <c r="G75" s="36" t="s">
        <v>111</v>
      </c>
      <c r="H75" s="36" t="s">
        <v>303</v>
      </c>
      <c r="I75" s="36" t="s">
        <v>534</v>
      </c>
      <c r="J75" s="36" t="s">
        <v>236</v>
      </c>
      <c r="K75" s="36" t="s">
        <v>237</v>
      </c>
      <c r="L75" s="40">
        <v>46077</v>
      </c>
      <c r="M75" s="40">
        <v>46077</v>
      </c>
      <c r="N75" s="41">
        <v>46077</v>
      </c>
      <c r="O75" s="36" t="s">
        <v>305</v>
      </c>
      <c r="P75" s="41" t="s">
        <v>306</v>
      </c>
      <c r="Q75" s="36" t="s">
        <v>258</v>
      </c>
      <c r="R75" s="36" t="s">
        <v>45</v>
      </c>
      <c r="S75" s="36" t="s">
        <v>307</v>
      </c>
      <c r="T75" s="36" t="s">
        <v>514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239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242</v>
      </c>
      <c r="AI75" s="38" t="s">
        <v>242</v>
      </c>
      <c r="AJ75" s="38" t="s">
        <v>242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239</v>
      </c>
      <c r="AX75" s="38">
        <v>394</v>
      </c>
      <c r="AY75" s="45">
        <v>0</v>
      </c>
      <c r="AZ75" s="46" t="s">
        <v>243</v>
      </c>
      <c r="BA75" s="47"/>
      <c r="BB75" s="36"/>
      <c r="BC75" s="36"/>
      <c r="BD75" s="36">
        <v>0</v>
      </c>
      <c r="BE75" s="36">
        <v>13</v>
      </c>
      <c r="BF75" s="36" t="s">
        <v>244</v>
      </c>
      <c r="BG75" s="36" t="s">
        <v>114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535</v>
      </c>
      <c r="B76" s="36" t="s">
        <v>536</v>
      </c>
      <c r="C76" s="36" t="s">
        <v>537</v>
      </c>
      <c r="D76" s="38">
        <v>1687.29</v>
      </c>
      <c r="E76" s="38">
        <v>2081</v>
      </c>
      <c r="F76" s="39">
        <v>46066</v>
      </c>
      <c r="G76" s="36" t="s">
        <v>111</v>
      </c>
      <c r="H76" s="36" t="s">
        <v>303</v>
      </c>
      <c r="I76" s="36" t="s">
        <v>538</v>
      </c>
      <c r="J76" s="36" t="s">
        <v>236</v>
      </c>
      <c r="K76" s="36" t="s">
        <v>237</v>
      </c>
      <c r="L76" s="40">
        <v>46077</v>
      </c>
      <c r="M76" s="40">
        <v>46077</v>
      </c>
      <c r="N76" s="41">
        <v>46077</v>
      </c>
      <c r="O76" s="36" t="s">
        <v>305</v>
      </c>
      <c r="P76" s="41" t="s">
        <v>306</v>
      </c>
      <c r="Q76" s="36" t="s">
        <v>258</v>
      </c>
      <c r="R76" s="36" t="s">
        <v>45</v>
      </c>
      <c r="S76" s="36" t="s">
        <v>307</v>
      </c>
      <c r="T76" s="36" t="s">
        <v>514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239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242</v>
      </c>
      <c r="AI76" s="38" t="s">
        <v>242</v>
      </c>
      <c r="AJ76" s="38" t="s">
        <v>242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239</v>
      </c>
      <c r="AX76" s="38">
        <v>394</v>
      </c>
      <c r="AY76" s="45">
        <v>0</v>
      </c>
      <c r="AZ76" s="46" t="s">
        <v>243</v>
      </c>
      <c r="BA76" s="47"/>
      <c r="BB76" s="36"/>
      <c r="BC76" s="36"/>
      <c r="BD76" s="36">
        <v>0</v>
      </c>
      <c r="BE76" s="36">
        <v>9</v>
      </c>
      <c r="BF76" s="36" t="s">
        <v>244</v>
      </c>
      <c r="BG76" s="36" t="s">
        <v>114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539</v>
      </c>
      <c r="B77" s="36" t="s">
        <v>540</v>
      </c>
      <c r="C77" s="36" t="s">
        <v>541</v>
      </c>
      <c r="D77" s="38">
        <v>2932.56</v>
      </c>
      <c r="E77" s="38">
        <v>3804</v>
      </c>
      <c r="F77" s="39">
        <v>46066</v>
      </c>
      <c r="G77" s="36" t="s">
        <v>111</v>
      </c>
      <c r="H77" s="36" t="s">
        <v>542</v>
      </c>
      <c r="I77" s="36" t="s">
        <v>543</v>
      </c>
      <c r="J77" s="36" t="s">
        <v>236</v>
      </c>
      <c r="K77" s="36" t="s">
        <v>237</v>
      </c>
      <c r="L77" s="40">
        <v>46072</v>
      </c>
      <c r="M77" s="40">
        <v>46072</v>
      </c>
      <c r="N77" s="41">
        <v>46072</v>
      </c>
      <c r="O77" s="36" t="s">
        <v>325</v>
      </c>
      <c r="P77" s="41" t="s">
        <v>326</v>
      </c>
      <c r="Q77" s="36" t="s">
        <v>258</v>
      </c>
      <c r="R77" s="36" t="s">
        <v>45</v>
      </c>
      <c r="S77" s="36" t="s">
        <v>307</v>
      </c>
      <c r="T77" s="36" t="s">
        <v>412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239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242</v>
      </c>
      <c r="AI77" s="38" t="s">
        <v>242</v>
      </c>
      <c r="AJ77" s="38" t="s">
        <v>242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239</v>
      </c>
      <c r="AX77" s="38">
        <v>760.80000000000018</v>
      </c>
      <c r="AY77" s="45">
        <v>0</v>
      </c>
      <c r="AZ77" s="46" t="s">
        <v>243</v>
      </c>
      <c r="BA77" s="47"/>
      <c r="BB77" s="36"/>
      <c r="BC77" s="36"/>
      <c r="BD77" s="36">
        <v>0</v>
      </c>
      <c r="BE77" s="36">
        <v>5</v>
      </c>
      <c r="BF77" s="36" t="s">
        <v>244</v>
      </c>
      <c r="BG77" s="36" t="s">
        <v>114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544</v>
      </c>
      <c r="B78" s="36" t="s">
        <v>545</v>
      </c>
      <c r="C78" s="36" t="s">
        <v>546</v>
      </c>
      <c r="D78" s="38">
        <v>3907.59</v>
      </c>
      <c r="E78" s="38">
        <v>5054.2</v>
      </c>
      <c r="F78" s="39">
        <v>46066</v>
      </c>
      <c r="G78" s="36" t="s">
        <v>111</v>
      </c>
      <c r="H78" s="36" t="s">
        <v>547</v>
      </c>
      <c r="I78" s="36" t="s">
        <v>548</v>
      </c>
      <c r="J78" s="36" t="s">
        <v>236</v>
      </c>
      <c r="K78" s="36" t="s">
        <v>237</v>
      </c>
      <c r="L78" s="40">
        <v>46077</v>
      </c>
      <c r="M78" s="40">
        <v>46077</v>
      </c>
      <c r="N78" s="41">
        <v>46077</v>
      </c>
      <c r="O78" s="36" t="s">
        <v>305</v>
      </c>
      <c r="P78" s="41" t="s">
        <v>306</v>
      </c>
      <c r="Q78" s="36" t="s">
        <v>258</v>
      </c>
      <c r="R78" s="36" t="s">
        <v>45</v>
      </c>
      <c r="S78" s="36" t="s">
        <v>45</v>
      </c>
      <c r="T78" s="36" t="s">
        <v>514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239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242</v>
      </c>
      <c r="AI78" s="38" t="s">
        <v>242</v>
      </c>
      <c r="AJ78" s="38" t="s">
        <v>242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239</v>
      </c>
      <c r="AX78" s="38">
        <v>942.23999999999978</v>
      </c>
      <c r="AY78" s="45">
        <v>-0.37999999999965439</v>
      </c>
      <c r="AZ78" s="46" t="s">
        <v>243</v>
      </c>
      <c r="BA78" s="47"/>
      <c r="BB78" s="36"/>
      <c r="BC78" s="36"/>
      <c r="BD78" s="36">
        <v>1</v>
      </c>
      <c r="BE78" s="36">
        <v>2</v>
      </c>
      <c r="BF78" s="36" t="s">
        <v>244</v>
      </c>
      <c r="BG78" s="36" t="s">
        <v>114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549</v>
      </c>
      <c r="B79" s="36" t="s">
        <v>550</v>
      </c>
      <c r="C79" s="36" t="s">
        <v>551</v>
      </c>
      <c r="D79" s="38">
        <v>2932.56</v>
      </c>
      <c r="E79" s="38">
        <v>3804</v>
      </c>
      <c r="F79" s="39">
        <v>46095</v>
      </c>
      <c r="G79" s="36" t="s">
        <v>111</v>
      </c>
      <c r="H79" s="36" t="s">
        <v>542</v>
      </c>
      <c r="I79" s="36" t="s">
        <v>552</v>
      </c>
      <c r="J79" s="36" t="s">
        <v>236</v>
      </c>
      <c r="K79" s="36" t="s">
        <v>237</v>
      </c>
      <c r="L79" s="40">
        <v>46079</v>
      </c>
      <c r="M79" s="40">
        <v>46079</v>
      </c>
      <c r="N79" s="41">
        <v>46079</v>
      </c>
      <c r="O79" s="36" t="s">
        <v>325</v>
      </c>
      <c r="P79" s="41" t="s">
        <v>326</v>
      </c>
      <c r="Q79" s="36" t="s">
        <v>258</v>
      </c>
      <c r="R79" s="36" t="s">
        <v>45</v>
      </c>
      <c r="S79" s="36" t="s">
        <v>307</v>
      </c>
      <c r="T79" s="36" t="s">
        <v>514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239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242</v>
      </c>
      <c r="AI79" s="38" t="s">
        <v>242</v>
      </c>
      <c r="AJ79" s="38" t="s">
        <v>242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239</v>
      </c>
      <c r="AX79" s="38">
        <v>760.80000000000018</v>
      </c>
      <c r="AY79" s="45">
        <v>0</v>
      </c>
      <c r="AZ79" s="46" t="s">
        <v>243</v>
      </c>
      <c r="BA79" s="47"/>
      <c r="BB79" s="36"/>
      <c r="BC79" s="36"/>
      <c r="BD79" s="36">
        <v>0</v>
      </c>
      <c r="BE79" s="36">
        <v>5</v>
      </c>
      <c r="BF79" s="36" t="s">
        <v>244</v>
      </c>
      <c r="BG79" s="36" t="s">
        <v>114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553</v>
      </c>
      <c r="B80" s="36" t="s">
        <v>554</v>
      </c>
      <c r="C80" s="36" t="s">
        <v>555</v>
      </c>
      <c r="D80" s="38">
        <v>2932.56</v>
      </c>
      <c r="E80" s="38">
        <v>3804</v>
      </c>
      <c r="F80" s="39">
        <v>46096</v>
      </c>
      <c r="G80" s="36" t="s">
        <v>111</v>
      </c>
      <c r="H80" s="36" t="s">
        <v>542</v>
      </c>
      <c r="I80" s="36" t="s">
        <v>556</v>
      </c>
      <c r="J80" s="36" t="s">
        <v>236</v>
      </c>
      <c r="K80" s="36" t="s">
        <v>237</v>
      </c>
      <c r="L80" s="40">
        <v>46078</v>
      </c>
      <c r="M80" s="40">
        <v>46078</v>
      </c>
      <c r="N80" s="41">
        <v>46078</v>
      </c>
      <c r="O80" s="36" t="s">
        <v>325</v>
      </c>
      <c r="P80" s="41" t="s">
        <v>326</v>
      </c>
      <c r="Q80" s="36" t="s">
        <v>258</v>
      </c>
      <c r="R80" s="36" t="s">
        <v>45</v>
      </c>
      <c r="S80" s="36" t="s">
        <v>307</v>
      </c>
      <c r="T80" s="36" t="s">
        <v>514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239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242</v>
      </c>
      <c r="AI80" s="38" t="s">
        <v>242</v>
      </c>
      <c r="AJ80" s="38" t="s">
        <v>242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239</v>
      </c>
      <c r="AX80" s="38">
        <v>760.80000000000018</v>
      </c>
      <c r="AY80" s="45">
        <v>0</v>
      </c>
      <c r="AZ80" s="46" t="s">
        <v>243</v>
      </c>
      <c r="BA80" s="47"/>
      <c r="BB80" s="36"/>
      <c r="BC80" s="36"/>
      <c r="BD80" s="36">
        <v>0</v>
      </c>
      <c r="BE80" s="36">
        <v>6</v>
      </c>
      <c r="BF80" s="36" t="s">
        <v>244</v>
      </c>
      <c r="BG80" s="36" t="s">
        <v>114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557</v>
      </c>
      <c r="B81" s="36" t="s">
        <v>558</v>
      </c>
      <c r="C81" s="36" t="s">
        <v>559</v>
      </c>
      <c r="D81" s="38">
        <v>2932.56</v>
      </c>
      <c r="E81" s="38">
        <v>3804</v>
      </c>
      <c r="F81" s="39">
        <v>46097</v>
      </c>
      <c r="G81" s="36" t="s">
        <v>111</v>
      </c>
      <c r="H81" s="36" t="s">
        <v>542</v>
      </c>
      <c r="I81" s="36" t="s">
        <v>560</v>
      </c>
      <c r="J81" s="36" t="s">
        <v>236</v>
      </c>
      <c r="K81" s="36" t="s">
        <v>237</v>
      </c>
      <c r="L81" s="40">
        <v>46078</v>
      </c>
      <c r="M81" s="40">
        <v>46078</v>
      </c>
      <c r="N81" s="41">
        <v>46078</v>
      </c>
      <c r="O81" s="36" t="s">
        <v>325</v>
      </c>
      <c r="P81" s="41" t="s">
        <v>326</v>
      </c>
      <c r="Q81" s="36" t="s">
        <v>258</v>
      </c>
      <c r="R81" s="36" t="s">
        <v>45</v>
      </c>
      <c r="S81" s="36" t="s">
        <v>307</v>
      </c>
      <c r="T81" s="36" t="s">
        <v>514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239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242</v>
      </c>
      <c r="AI81" s="38" t="s">
        <v>242</v>
      </c>
      <c r="AJ81" s="38" t="s">
        <v>242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239</v>
      </c>
      <c r="AX81" s="38">
        <v>760.80000000000018</v>
      </c>
      <c r="AY81" s="45">
        <v>0</v>
      </c>
      <c r="AZ81" s="46" t="s">
        <v>243</v>
      </c>
      <c r="BA81" s="47"/>
      <c r="BB81" s="36"/>
      <c r="BC81" s="36"/>
      <c r="BD81" s="36">
        <v>0</v>
      </c>
      <c r="BE81" s="36">
        <v>6</v>
      </c>
      <c r="BF81" s="36" t="s">
        <v>244</v>
      </c>
      <c r="BG81" s="36" t="s">
        <v>114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561</v>
      </c>
      <c r="B82" s="36" t="s">
        <v>562</v>
      </c>
      <c r="C82" s="36" t="s">
        <v>563</v>
      </c>
      <c r="D82" s="38">
        <v>2932.56</v>
      </c>
      <c r="E82" s="38">
        <v>3804</v>
      </c>
      <c r="F82" s="39">
        <v>46098</v>
      </c>
      <c r="G82" s="36" t="s">
        <v>111</v>
      </c>
      <c r="H82" s="36" t="s">
        <v>542</v>
      </c>
      <c r="I82" s="36" t="s">
        <v>564</v>
      </c>
      <c r="J82" s="36" t="s">
        <v>236</v>
      </c>
      <c r="K82" s="36" t="s">
        <v>237</v>
      </c>
      <c r="L82" s="40">
        <v>46083</v>
      </c>
      <c r="M82" s="40">
        <v>46083</v>
      </c>
      <c r="N82" s="41">
        <v>46083</v>
      </c>
      <c r="O82" s="36" t="s">
        <v>325</v>
      </c>
      <c r="P82" s="41" t="s">
        <v>326</v>
      </c>
      <c r="Q82" s="36" t="s">
        <v>258</v>
      </c>
      <c r="R82" s="36" t="s">
        <v>45</v>
      </c>
      <c r="S82" s="36" t="s">
        <v>307</v>
      </c>
      <c r="T82" s="36" t="s">
        <v>565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239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242</v>
      </c>
      <c r="AI82" s="38" t="s">
        <v>242</v>
      </c>
      <c r="AJ82" s="38" t="s">
        <v>242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239</v>
      </c>
      <c r="AX82" s="38">
        <v>760.80000000000018</v>
      </c>
      <c r="AY82" s="45">
        <v>480</v>
      </c>
      <c r="AZ82" s="46" t="s">
        <v>243</v>
      </c>
      <c r="BA82" s="47"/>
      <c r="BB82" s="36"/>
      <c r="BC82" s="36"/>
      <c r="BD82" s="36">
        <v>0</v>
      </c>
      <c r="BE82" s="36">
        <v>2</v>
      </c>
      <c r="BF82" s="36" t="s">
        <v>244</v>
      </c>
      <c r="BG82" s="36" t="s">
        <v>114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566</v>
      </c>
      <c r="B83" s="36" t="s">
        <v>567</v>
      </c>
      <c r="C83" s="36" t="s">
        <v>568</v>
      </c>
      <c r="D83" s="38">
        <v>2932.56</v>
      </c>
      <c r="E83" s="38">
        <v>3804</v>
      </c>
      <c r="F83" s="39">
        <v>46099</v>
      </c>
      <c r="G83" s="36" t="s">
        <v>111</v>
      </c>
      <c r="H83" s="36" t="s">
        <v>542</v>
      </c>
      <c r="I83" s="36" t="s">
        <v>569</v>
      </c>
      <c r="J83" s="36" t="s">
        <v>236</v>
      </c>
      <c r="K83" s="36" t="s">
        <v>237</v>
      </c>
      <c r="L83" s="40">
        <v>46079</v>
      </c>
      <c r="M83" s="40">
        <v>46079</v>
      </c>
      <c r="N83" s="41">
        <v>46079</v>
      </c>
      <c r="O83" s="36" t="s">
        <v>325</v>
      </c>
      <c r="P83" s="41" t="s">
        <v>326</v>
      </c>
      <c r="Q83" s="36" t="s">
        <v>258</v>
      </c>
      <c r="R83" s="36" t="s">
        <v>45</v>
      </c>
      <c r="S83" s="36" t="s">
        <v>307</v>
      </c>
      <c r="T83" s="36" t="s">
        <v>514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239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242</v>
      </c>
      <c r="AI83" s="38" t="s">
        <v>242</v>
      </c>
      <c r="AJ83" s="38" t="s">
        <v>242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239</v>
      </c>
      <c r="AX83" s="38">
        <v>760.80000000000018</v>
      </c>
      <c r="AY83" s="45">
        <v>0</v>
      </c>
      <c r="AZ83" s="46" t="s">
        <v>243</v>
      </c>
      <c r="BA83" s="47"/>
      <c r="BB83" s="36"/>
      <c r="BC83" s="36"/>
      <c r="BD83" s="36">
        <v>0</v>
      </c>
      <c r="BE83" s="36">
        <v>5</v>
      </c>
      <c r="BF83" s="36" t="s">
        <v>244</v>
      </c>
      <c r="BG83" s="36" t="s">
        <v>114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570</v>
      </c>
      <c r="B84" s="36" t="s">
        <v>571</v>
      </c>
      <c r="C84" s="36" t="s">
        <v>572</v>
      </c>
      <c r="D84" s="38">
        <v>2932.56</v>
      </c>
      <c r="E84" s="38">
        <v>3804</v>
      </c>
      <c r="F84" s="39">
        <v>46100</v>
      </c>
      <c r="G84" s="36" t="s">
        <v>111</v>
      </c>
      <c r="H84" s="36" t="s">
        <v>542</v>
      </c>
      <c r="I84" s="36" t="s">
        <v>573</v>
      </c>
      <c r="J84" s="36" t="s">
        <v>236</v>
      </c>
      <c r="K84" s="36" t="s">
        <v>237</v>
      </c>
      <c r="L84" s="40">
        <v>46079</v>
      </c>
      <c r="M84" s="40">
        <v>46079</v>
      </c>
      <c r="N84" s="41">
        <v>46079</v>
      </c>
      <c r="O84" s="36" t="s">
        <v>325</v>
      </c>
      <c r="P84" s="41" t="s">
        <v>326</v>
      </c>
      <c r="Q84" s="36" t="s">
        <v>258</v>
      </c>
      <c r="R84" s="36" t="s">
        <v>45</v>
      </c>
      <c r="S84" s="36" t="s">
        <v>307</v>
      </c>
      <c r="T84" s="36" t="s">
        <v>514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239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242</v>
      </c>
      <c r="AI84" s="38" t="s">
        <v>242</v>
      </c>
      <c r="AJ84" s="38" t="s">
        <v>242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239</v>
      </c>
      <c r="AX84" s="38">
        <v>760.80000000000018</v>
      </c>
      <c r="AY84" s="45">
        <v>0</v>
      </c>
      <c r="AZ84" s="46" t="s">
        <v>243</v>
      </c>
      <c r="BA84" s="47"/>
      <c r="BB84" s="36"/>
      <c r="BC84" s="36"/>
      <c r="BD84" s="36">
        <v>0</v>
      </c>
      <c r="BE84" s="36">
        <v>6</v>
      </c>
      <c r="BF84" s="36" t="s">
        <v>244</v>
      </c>
      <c r="BG84" s="36" t="s">
        <v>114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574</v>
      </c>
      <c r="B85" s="36" t="s">
        <v>575</v>
      </c>
      <c r="C85" s="36" t="s">
        <v>576</v>
      </c>
      <c r="D85" s="38">
        <v>2932.56</v>
      </c>
      <c r="E85" s="38">
        <v>3804</v>
      </c>
      <c r="F85" s="39">
        <v>46101</v>
      </c>
      <c r="G85" s="36" t="s">
        <v>111</v>
      </c>
      <c r="H85" s="36" t="s">
        <v>542</v>
      </c>
      <c r="I85" s="36" t="s">
        <v>577</v>
      </c>
      <c r="J85" s="36" t="s">
        <v>236</v>
      </c>
      <c r="K85" s="36" t="s">
        <v>237</v>
      </c>
      <c r="L85" s="40">
        <v>46078</v>
      </c>
      <c r="M85" s="40">
        <v>46078</v>
      </c>
      <c r="N85" s="41">
        <v>46078</v>
      </c>
      <c r="O85" s="36" t="s">
        <v>325</v>
      </c>
      <c r="P85" s="41" t="s">
        <v>326</v>
      </c>
      <c r="Q85" s="36" t="s">
        <v>258</v>
      </c>
      <c r="R85" s="36" t="s">
        <v>45</v>
      </c>
      <c r="S85" s="36" t="s">
        <v>307</v>
      </c>
      <c r="T85" s="36" t="s">
        <v>514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239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242</v>
      </c>
      <c r="AI85" s="38" t="s">
        <v>242</v>
      </c>
      <c r="AJ85" s="38" t="s">
        <v>242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239</v>
      </c>
      <c r="AX85" s="38">
        <v>760.80000000000018</v>
      </c>
      <c r="AY85" s="45">
        <v>0</v>
      </c>
      <c r="AZ85" s="46" t="s">
        <v>243</v>
      </c>
      <c r="BA85" s="47"/>
      <c r="BB85" s="36"/>
      <c r="BC85" s="36"/>
      <c r="BD85" s="36">
        <v>0</v>
      </c>
      <c r="BE85" s="36">
        <v>6</v>
      </c>
      <c r="BF85" s="36" t="s">
        <v>244</v>
      </c>
      <c r="BG85" s="36" t="s">
        <v>114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578</v>
      </c>
      <c r="B86" s="36" t="s">
        <v>579</v>
      </c>
      <c r="C86" s="36" t="s">
        <v>580</v>
      </c>
      <c r="D86" s="38">
        <v>2932.56</v>
      </c>
      <c r="E86" s="38">
        <v>3804</v>
      </c>
      <c r="F86" s="39">
        <v>46102</v>
      </c>
      <c r="G86" s="36" t="s">
        <v>111</v>
      </c>
      <c r="H86" s="36" t="s">
        <v>542</v>
      </c>
      <c r="I86" s="36" t="s">
        <v>581</v>
      </c>
      <c r="J86" s="36" t="s">
        <v>236</v>
      </c>
      <c r="K86" s="36" t="s">
        <v>237</v>
      </c>
      <c r="L86" s="40">
        <v>46078</v>
      </c>
      <c r="M86" s="40">
        <v>46078</v>
      </c>
      <c r="N86" s="41">
        <v>46078</v>
      </c>
      <c r="O86" s="36" t="s">
        <v>325</v>
      </c>
      <c r="P86" s="41" t="s">
        <v>326</v>
      </c>
      <c r="Q86" s="36" t="s">
        <v>258</v>
      </c>
      <c r="R86" s="36" t="s">
        <v>45</v>
      </c>
      <c r="S86" s="36" t="s">
        <v>307</v>
      </c>
      <c r="T86" s="36" t="s">
        <v>514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239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242</v>
      </c>
      <c r="AI86" s="38" t="s">
        <v>242</v>
      </c>
      <c r="AJ86" s="38" t="s">
        <v>242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239</v>
      </c>
      <c r="AX86" s="38">
        <v>760.80000000000018</v>
      </c>
      <c r="AY86" s="45">
        <v>0</v>
      </c>
      <c r="AZ86" s="46" t="s">
        <v>243</v>
      </c>
      <c r="BA86" s="47"/>
      <c r="BB86" s="36"/>
      <c r="BC86" s="36"/>
      <c r="BD86" s="36">
        <v>0</v>
      </c>
      <c r="BE86" s="36">
        <v>6</v>
      </c>
      <c r="BF86" s="36" t="s">
        <v>244</v>
      </c>
      <c r="BG86" s="36" t="s">
        <v>114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582</v>
      </c>
      <c r="B87" s="36" t="s">
        <v>583</v>
      </c>
      <c r="C87" s="36" t="s">
        <v>584</v>
      </c>
      <c r="D87" s="38">
        <v>2932.56</v>
      </c>
      <c r="E87" s="38">
        <v>3804</v>
      </c>
      <c r="F87" s="39">
        <v>46104</v>
      </c>
      <c r="G87" s="36" t="s">
        <v>111</v>
      </c>
      <c r="H87" s="36" t="s">
        <v>542</v>
      </c>
      <c r="I87" s="36" t="s">
        <v>585</v>
      </c>
      <c r="J87" s="36" t="s">
        <v>236</v>
      </c>
      <c r="K87" s="36" t="s">
        <v>237</v>
      </c>
      <c r="L87" s="40">
        <v>46079</v>
      </c>
      <c r="M87" s="40">
        <v>46079</v>
      </c>
      <c r="N87" s="41">
        <v>46079</v>
      </c>
      <c r="O87" s="36" t="s">
        <v>325</v>
      </c>
      <c r="P87" s="41" t="s">
        <v>326</v>
      </c>
      <c r="Q87" s="36" t="s">
        <v>258</v>
      </c>
      <c r="R87" s="36" t="s">
        <v>45</v>
      </c>
      <c r="S87" s="36" t="s">
        <v>307</v>
      </c>
      <c r="T87" s="36" t="s">
        <v>514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239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242</v>
      </c>
      <c r="AI87" s="38" t="s">
        <v>242</v>
      </c>
      <c r="AJ87" s="38" t="s">
        <v>242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239</v>
      </c>
      <c r="AX87" s="38">
        <v>760.80000000000018</v>
      </c>
      <c r="AY87" s="45">
        <v>0</v>
      </c>
      <c r="AZ87" s="46" t="s">
        <v>243</v>
      </c>
      <c r="BA87" s="47"/>
      <c r="BB87" s="36"/>
      <c r="BC87" s="36"/>
      <c r="BD87" s="36">
        <v>0</v>
      </c>
      <c r="BE87" s="36">
        <v>6</v>
      </c>
      <c r="BF87" s="36" t="s">
        <v>244</v>
      </c>
      <c r="BG87" s="36" t="s">
        <v>114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586</v>
      </c>
      <c r="B88" s="36" t="s">
        <v>587</v>
      </c>
      <c r="C88" s="36" t="s">
        <v>588</v>
      </c>
      <c r="D88" s="38">
        <v>2932.56</v>
      </c>
      <c r="E88" s="38">
        <v>3804</v>
      </c>
      <c r="F88" s="39">
        <v>46105</v>
      </c>
      <c r="G88" s="36" t="s">
        <v>111</v>
      </c>
      <c r="H88" s="36" t="s">
        <v>542</v>
      </c>
      <c r="I88" s="36" t="s">
        <v>589</v>
      </c>
      <c r="J88" s="36" t="s">
        <v>236</v>
      </c>
      <c r="K88" s="36" t="s">
        <v>237</v>
      </c>
      <c r="L88" s="40">
        <v>46078</v>
      </c>
      <c r="M88" s="40">
        <v>46078</v>
      </c>
      <c r="N88" s="41">
        <v>46078</v>
      </c>
      <c r="O88" s="36" t="s">
        <v>325</v>
      </c>
      <c r="P88" s="41" t="s">
        <v>326</v>
      </c>
      <c r="Q88" s="36" t="s">
        <v>258</v>
      </c>
      <c r="R88" s="36" t="s">
        <v>45</v>
      </c>
      <c r="S88" s="36" t="s">
        <v>307</v>
      </c>
      <c r="T88" s="36" t="s">
        <v>514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239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242</v>
      </c>
      <c r="AI88" s="38" t="s">
        <v>242</v>
      </c>
      <c r="AJ88" s="38" t="s">
        <v>242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239</v>
      </c>
      <c r="AX88" s="38">
        <v>760.80000000000018</v>
      </c>
      <c r="AY88" s="45">
        <v>0</v>
      </c>
      <c r="AZ88" s="46" t="s">
        <v>243</v>
      </c>
      <c r="BA88" s="47"/>
      <c r="BB88" s="36"/>
      <c r="BC88" s="36"/>
      <c r="BD88" s="36">
        <v>0</v>
      </c>
      <c r="BE88" s="36">
        <v>6</v>
      </c>
      <c r="BF88" s="36" t="s">
        <v>244</v>
      </c>
      <c r="BG88" s="36" t="s">
        <v>114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590</v>
      </c>
      <c r="B89" s="36" t="s">
        <v>591</v>
      </c>
      <c r="C89" s="36" t="s">
        <v>592</v>
      </c>
      <c r="D89" s="38">
        <v>2932.56</v>
      </c>
      <c r="E89" s="38">
        <v>3804</v>
      </c>
      <c r="F89" s="39">
        <v>46106</v>
      </c>
      <c r="G89" s="36" t="s">
        <v>111</v>
      </c>
      <c r="H89" s="36" t="s">
        <v>542</v>
      </c>
      <c r="I89" s="36" t="s">
        <v>593</v>
      </c>
      <c r="J89" s="36" t="s">
        <v>236</v>
      </c>
      <c r="K89" s="36" t="s">
        <v>237</v>
      </c>
      <c r="L89" s="40">
        <v>46078</v>
      </c>
      <c r="M89" s="40">
        <v>46078</v>
      </c>
      <c r="N89" s="41">
        <v>46078</v>
      </c>
      <c r="O89" s="36" t="s">
        <v>325</v>
      </c>
      <c r="P89" s="41" t="s">
        <v>326</v>
      </c>
      <c r="Q89" s="36" t="s">
        <v>258</v>
      </c>
      <c r="R89" s="36" t="s">
        <v>45</v>
      </c>
      <c r="S89" s="36" t="s">
        <v>307</v>
      </c>
      <c r="T89" s="36" t="s">
        <v>514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239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242</v>
      </c>
      <c r="AI89" s="38" t="s">
        <v>242</v>
      </c>
      <c r="AJ89" s="38" t="s">
        <v>242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239</v>
      </c>
      <c r="AX89" s="38">
        <v>760.80000000000018</v>
      </c>
      <c r="AY89" s="45">
        <v>0</v>
      </c>
      <c r="AZ89" s="46" t="s">
        <v>243</v>
      </c>
      <c r="BA89" s="47"/>
      <c r="BB89" s="36"/>
      <c r="BC89" s="36"/>
      <c r="BD89" s="36">
        <v>0</v>
      </c>
      <c r="BE89" s="36">
        <v>15</v>
      </c>
      <c r="BF89" s="36" t="s">
        <v>244</v>
      </c>
      <c r="BG89" s="36" t="s">
        <v>114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594</v>
      </c>
      <c r="B90" s="36" t="s">
        <v>595</v>
      </c>
      <c r="C90" s="36" t="s">
        <v>596</v>
      </c>
      <c r="D90" s="38">
        <v>2932.56</v>
      </c>
      <c r="E90" s="38">
        <v>3804</v>
      </c>
      <c r="F90" s="39">
        <v>46107</v>
      </c>
      <c r="G90" s="36" t="s">
        <v>111</v>
      </c>
      <c r="H90" s="36" t="s">
        <v>542</v>
      </c>
      <c r="I90" s="36" t="s">
        <v>597</v>
      </c>
      <c r="J90" s="36" t="s">
        <v>236</v>
      </c>
      <c r="K90" s="36" t="s">
        <v>237</v>
      </c>
      <c r="L90" s="40">
        <v>46079</v>
      </c>
      <c r="M90" s="40">
        <v>46079</v>
      </c>
      <c r="N90" s="41">
        <v>46079</v>
      </c>
      <c r="O90" s="36" t="s">
        <v>325</v>
      </c>
      <c r="P90" s="41" t="s">
        <v>326</v>
      </c>
      <c r="Q90" s="36" t="s">
        <v>258</v>
      </c>
      <c r="R90" s="36" t="s">
        <v>45</v>
      </c>
      <c r="S90" s="36" t="s">
        <v>307</v>
      </c>
      <c r="T90" s="36" t="s">
        <v>514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239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242</v>
      </c>
      <c r="AI90" s="38" t="s">
        <v>242</v>
      </c>
      <c r="AJ90" s="38" t="s">
        <v>242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239</v>
      </c>
      <c r="AX90" s="38">
        <v>760.80000000000018</v>
      </c>
      <c r="AY90" s="45">
        <v>0</v>
      </c>
      <c r="AZ90" s="46" t="s">
        <v>243</v>
      </c>
      <c r="BA90" s="47"/>
      <c r="BB90" s="36"/>
      <c r="BC90" s="36"/>
      <c r="BD90" s="36">
        <v>0</v>
      </c>
      <c r="BE90" s="36">
        <v>6</v>
      </c>
      <c r="BF90" s="36" t="s">
        <v>244</v>
      </c>
      <c r="BG90" s="36" t="s">
        <v>114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598</v>
      </c>
      <c r="B91" s="36" t="s">
        <v>599</v>
      </c>
      <c r="C91" s="36" t="s">
        <v>600</v>
      </c>
      <c r="D91" s="38">
        <v>2932.56</v>
      </c>
      <c r="E91" s="38">
        <v>3804</v>
      </c>
      <c r="F91" s="39">
        <v>46110</v>
      </c>
      <c r="G91" s="36" t="s">
        <v>111</v>
      </c>
      <c r="H91" s="36" t="s">
        <v>542</v>
      </c>
      <c r="I91" s="36" t="s">
        <v>601</v>
      </c>
      <c r="J91" s="36" t="s">
        <v>236</v>
      </c>
      <c r="K91" s="36" t="s">
        <v>237</v>
      </c>
      <c r="L91" s="40">
        <v>46078</v>
      </c>
      <c r="M91" s="40">
        <v>46078</v>
      </c>
      <c r="N91" s="41">
        <v>46078</v>
      </c>
      <c r="O91" s="36" t="s">
        <v>325</v>
      </c>
      <c r="P91" s="41" t="s">
        <v>326</v>
      </c>
      <c r="Q91" s="36" t="s">
        <v>258</v>
      </c>
      <c r="R91" s="36" t="s">
        <v>45</v>
      </c>
      <c r="S91" s="36" t="s">
        <v>307</v>
      </c>
      <c r="T91" s="36" t="s">
        <v>514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239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242</v>
      </c>
      <c r="AI91" s="38" t="s">
        <v>242</v>
      </c>
      <c r="AJ91" s="38" t="s">
        <v>242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239</v>
      </c>
      <c r="AX91" s="38">
        <v>760.80000000000018</v>
      </c>
      <c r="AY91" s="45">
        <v>0</v>
      </c>
      <c r="AZ91" s="46" t="s">
        <v>243</v>
      </c>
      <c r="BA91" s="47"/>
      <c r="BB91" s="36"/>
      <c r="BC91" s="36"/>
      <c r="BD91" s="36">
        <v>1</v>
      </c>
      <c r="BE91" s="36">
        <v>6</v>
      </c>
      <c r="BF91" s="36" t="s">
        <v>244</v>
      </c>
      <c r="BG91" s="36" t="s">
        <v>114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602</v>
      </c>
      <c r="B92" s="36" t="s">
        <v>603</v>
      </c>
      <c r="C92" s="36" t="s">
        <v>604</v>
      </c>
      <c r="D92" s="38">
        <v>12583.72</v>
      </c>
      <c r="E92" s="38">
        <v>15346</v>
      </c>
      <c r="F92" s="39">
        <v>46066</v>
      </c>
      <c r="G92" s="36" t="s">
        <v>118</v>
      </c>
      <c r="H92" s="36" t="s">
        <v>234</v>
      </c>
      <c r="I92" s="36" t="s">
        <v>605</v>
      </c>
      <c r="J92" s="36" t="s">
        <v>236</v>
      </c>
      <c r="K92" s="36" t="s">
        <v>237</v>
      </c>
      <c r="L92" s="40" t="s">
        <v>239</v>
      </c>
      <c r="M92" s="40" t="s">
        <v>239</v>
      </c>
      <c r="N92" s="41"/>
      <c r="O92" s="36" t="s">
        <v>248</v>
      </c>
      <c r="P92" s="41" t="s">
        <v>239</v>
      </c>
      <c r="Q92" s="36" t="s">
        <v>606</v>
      </c>
      <c r="R92" s="36" t="s">
        <v>606</v>
      </c>
      <c r="S92" s="36" t="s">
        <v>606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239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239</v>
      </c>
      <c r="AI92" s="38" t="s">
        <v>239</v>
      </c>
      <c r="AJ92" s="38" t="s">
        <v>239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239</v>
      </c>
      <c r="AV92" s="44" t="s">
        <v>239</v>
      </c>
      <c r="AW92" s="44" t="s">
        <v>239</v>
      </c>
      <c r="AX92" s="38">
        <v>0</v>
      </c>
      <c r="AY92" s="45">
        <v>0</v>
      </c>
      <c r="AZ92" s="46" t="s">
        <v>239</v>
      </c>
      <c r="BA92" s="47"/>
      <c r="BB92" s="36"/>
      <c r="BC92" s="36"/>
      <c r="BD92" s="36"/>
      <c r="BE92" s="36"/>
      <c r="BF92" s="36" t="s">
        <v>606</v>
      </c>
      <c r="BG92" s="36" t="s">
        <v>606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607</v>
      </c>
      <c r="B93" s="36" t="s">
        <v>608</v>
      </c>
      <c r="C93" s="36" t="s">
        <v>609</v>
      </c>
      <c r="D93" s="38">
        <v>3417.82</v>
      </c>
      <c r="E93" s="38">
        <v>4413</v>
      </c>
      <c r="F93" s="39">
        <v>46111</v>
      </c>
      <c r="G93" s="36" t="s">
        <v>111</v>
      </c>
      <c r="H93" s="36" t="s">
        <v>610</v>
      </c>
      <c r="I93" s="36" t="s">
        <v>611</v>
      </c>
      <c r="J93" s="36" t="s">
        <v>236</v>
      </c>
      <c r="K93" s="36" t="s">
        <v>237</v>
      </c>
      <c r="L93" s="40">
        <v>46087</v>
      </c>
      <c r="M93" s="40">
        <v>46087</v>
      </c>
      <c r="N93" s="41">
        <v>46087</v>
      </c>
      <c r="O93" s="36" t="s">
        <v>325</v>
      </c>
      <c r="P93" s="41" t="s">
        <v>326</v>
      </c>
      <c r="Q93" s="36" t="s">
        <v>258</v>
      </c>
      <c r="R93" s="36" t="s">
        <v>45</v>
      </c>
      <c r="S93" s="36" t="s">
        <v>45</v>
      </c>
      <c r="T93" s="36" t="s">
        <v>565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239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242</v>
      </c>
      <c r="AI93" s="38" t="s">
        <v>242</v>
      </c>
      <c r="AJ93" s="38" t="s">
        <v>242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239</v>
      </c>
      <c r="AX93" s="38">
        <v>882.60000000000036</v>
      </c>
      <c r="AY93" s="45">
        <v>560</v>
      </c>
      <c r="AZ93" s="46" t="s">
        <v>243</v>
      </c>
      <c r="BA93" s="47"/>
      <c r="BB93" s="36"/>
      <c r="BC93" s="36"/>
      <c r="BD93" s="36">
        <v>0</v>
      </c>
      <c r="BE93" s="36">
        <v>3</v>
      </c>
      <c r="BF93" s="36" t="s">
        <v>244</v>
      </c>
      <c r="BG93" s="36" t="s">
        <v>114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612</v>
      </c>
      <c r="B94" s="36" t="s">
        <v>613</v>
      </c>
      <c r="C94" s="36" t="s">
        <v>614</v>
      </c>
      <c r="D94" s="38">
        <v>2932.56</v>
      </c>
      <c r="E94" s="38">
        <v>3804</v>
      </c>
      <c r="F94" s="39">
        <v>46111</v>
      </c>
      <c r="G94" s="36" t="s">
        <v>111</v>
      </c>
      <c r="H94" s="36" t="s">
        <v>542</v>
      </c>
      <c r="I94" s="36" t="s">
        <v>615</v>
      </c>
      <c r="J94" s="36" t="s">
        <v>236</v>
      </c>
      <c r="K94" s="36" t="s">
        <v>237</v>
      </c>
      <c r="L94" s="40">
        <v>46094</v>
      </c>
      <c r="M94" s="40">
        <v>46094</v>
      </c>
      <c r="N94" s="41">
        <v>46094</v>
      </c>
      <c r="O94" s="36" t="s">
        <v>325</v>
      </c>
      <c r="P94" s="41" t="s">
        <v>326</v>
      </c>
      <c r="Q94" s="36" t="s">
        <v>258</v>
      </c>
      <c r="R94" s="36" t="s">
        <v>45</v>
      </c>
      <c r="S94" s="36" t="s">
        <v>45</v>
      </c>
      <c r="T94" s="36" t="s">
        <v>616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239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242</v>
      </c>
      <c r="AI94" s="38" t="s">
        <v>242</v>
      </c>
      <c r="AJ94" s="38" t="s">
        <v>242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239</v>
      </c>
      <c r="AX94" s="38">
        <v>760.80000000000018</v>
      </c>
      <c r="AY94" s="45">
        <v>480</v>
      </c>
      <c r="AZ94" s="46" t="s">
        <v>243</v>
      </c>
      <c r="BA94" s="47"/>
      <c r="BB94" s="36"/>
      <c r="BC94" s="36"/>
      <c r="BD94" s="36">
        <v>0</v>
      </c>
      <c r="BE94" s="36">
        <v>21</v>
      </c>
      <c r="BF94" s="36" t="s">
        <v>244</v>
      </c>
      <c r="BG94" s="36" t="s">
        <v>114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617</v>
      </c>
      <c r="B95" s="36" t="s">
        <v>618</v>
      </c>
      <c r="C95" s="36" t="s">
        <v>619</v>
      </c>
      <c r="D95" s="38">
        <v>2932.56</v>
      </c>
      <c r="E95" s="38">
        <v>3804</v>
      </c>
      <c r="F95" s="39">
        <v>46111</v>
      </c>
      <c r="G95" s="36" t="s">
        <v>111</v>
      </c>
      <c r="H95" s="36" t="s">
        <v>542</v>
      </c>
      <c r="I95" s="36" t="s">
        <v>620</v>
      </c>
      <c r="J95" s="36" t="s">
        <v>236</v>
      </c>
      <c r="K95" s="36" t="s">
        <v>237</v>
      </c>
      <c r="L95" s="40">
        <v>46093</v>
      </c>
      <c r="M95" s="40">
        <v>46093</v>
      </c>
      <c r="N95" s="41">
        <v>46093</v>
      </c>
      <c r="O95" s="36" t="s">
        <v>325</v>
      </c>
      <c r="P95" s="41" t="s">
        <v>326</v>
      </c>
      <c r="Q95" s="36" t="s">
        <v>258</v>
      </c>
      <c r="R95" s="36" t="s">
        <v>45</v>
      </c>
      <c r="S95" s="36" t="s">
        <v>45</v>
      </c>
      <c r="T95" s="36" t="s">
        <v>616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239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242</v>
      </c>
      <c r="AI95" s="38" t="s">
        <v>242</v>
      </c>
      <c r="AJ95" s="38" t="s">
        <v>242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239</v>
      </c>
      <c r="AX95" s="38">
        <v>760.80000000000018</v>
      </c>
      <c r="AY95" s="45">
        <v>0</v>
      </c>
      <c r="AZ95" s="46" t="s">
        <v>243</v>
      </c>
      <c r="BA95" s="47"/>
      <c r="BB95" s="36"/>
      <c r="BC95" s="36"/>
      <c r="BD95" s="36">
        <v>0</v>
      </c>
      <c r="BE95" s="36">
        <v>4</v>
      </c>
      <c r="BF95" s="36" t="s">
        <v>244</v>
      </c>
      <c r="BG95" s="36" t="s">
        <v>114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621</v>
      </c>
      <c r="B96" s="36" t="s">
        <v>622</v>
      </c>
      <c r="C96" s="36" t="s">
        <v>623</v>
      </c>
      <c r="D96" s="38">
        <v>2932.56</v>
      </c>
      <c r="E96" s="38">
        <v>3804</v>
      </c>
      <c r="F96" s="39">
        <v>46111</v>
      </c>
      <c r="G96" s="36" t="s">
        <v>111</v>
      </c>
      <c r="H96" s="36" t="s">
        <v>542</v>
      </c>
      <c r="I96" s="36" t="s">
        <v>624</v>
      </c>
      <c r="J96" s="36" t="s">
        <v>236</v>
      </c>
      <c r="K96" s="36" t="s">
        <v>237</v>
      </c>
      <c r="L96" s="40">
        <v>46093</v>
      </c>
      <c r="M96" s="40">
        <v>46093</v>
      </c>
      <c r="N96" s="41">
        <v>46093</v>
      </c>
      <c r="O96" s="36" t="s">
        <v>325</v>
      </c>
      <c r="P96" s="41" t="s">
        <v>326</v>
      </c>
      <c r="Q96" s="36" t="s">
        <v>258</v>
      </c>
      <c r="R96" s="36" t="s">
        <v>45</v>
      </c>
      <c r="S96" s="36" t="s">
        <v>45</v>
      </c>
      <c r="T96" s="36" t="s">
        <v>616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239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242</v>
      </c>
      <c r="AI96" s="38" t="s">
        <v>242</v>
      </c>
      <c r="AJ96" s="38" t="s">
        <v>242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239</v>
      </c>
      <c r="AX96" s="38">
        <v>760.80000000000018</v>
      </c>
      <c r="AY96" s="45">
        <v>0</v>
      </c>
      <c r="AZ96" s="46" t="s">
        <v>243</v>
      </c>
      <c r="BA96" s="47"/>
      <c r="BB96" s="36"/>
      <c r="BC96" s="36"/>
      <c r="BD96" s="36">
        <v>0</v>
      </c>
      <c r="BE96" s="36">
        <v>4</v>
      </c>
      <c r="BF96" s="36" t="s">
        <v>244</v>
      </c>
      <c r="BG96" s="36" t="s">
        <v>114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625</v>
      </c>
      <c r="B97" s="36" t="s">
        <v>626</v>
      </c>
      <c r="C97" s="36" t="s">
        <v>627</v>
      </c>
      <c r="D97" s="38">
        <v>2050.4700000000003</v>
      </c>
      <c r="E97" s="38">
        <v>2783</v>
      </c>
      <c r="F97" s="39">
        <v>46111</v>
      </c>
      <c r="G97" s="36" t="s">
        <v>111</v>
      </c>
      <c r="H97" s="36" t="s">
        <v>542</v>
      </c>
      <c r="I97" s="36" t="s">
        <v>628</v>
      </c>
      <c r="J97" s="36" t="s">
        <v>236</v>
      </c>
      <c r="K97" s="36" t="s">
        <v>237</v>
      </c>
      <c r="L97" s="40">
        <v>46094</v>
      </c>
      <c r="M97" s="40">
        <v>46094</v>
      </c>
      <c r="N97" s="41">
        <v>46094</v>
      </c>
      <c r="O97" s="36" t="s">
        <v>325</v>
      </c>
      <c r="P97" s="41" t="s">
        <v>326</v>
      </c>
      <c r="Q97" s="36" t="s">
        <v>258</v>
      </c>
      <c r="R97" s="36" t="s">
        <v>45</v>
      </c>
      <c r="S97" s="36" t="s">
        <v>45</v>
      </c>
      <c r="T97" s="36" t="s">
        <v>616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239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242</v>
      </c>
      <c r="AI97" s="38" t="s">
        <v>242</v>
      </c>
      <c r="AJ97" s="38" t="s">
        <v>242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239</v>
      </c>
      <c r="AX97" s="38">
        <v>282.59999999999991</v>
      </c>
      <c r="AY97" s="45">
        <v>326</v>
      </c>
      <c r="AZ97" s="46" t="s">
        <v>243</v>
      </c>
      <c r="BA97" s="47"/>
      <c r="BB97" s="36"/>
      <c r="BC97" s="36"/>
      <c r="BD97" s="36">
        <v>0</v>
      </c>
      <c r="BE97" s="36">
        <v>24</v>
      </c>
      <c r="BF97" s="36" t="s">
        <v>244</v>
      </c>
      <c r="BG97" s="36" t="s">
        <v>114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629</v>
      </c>
      <c r="B98" s="36" t="s">
        <v>630</v>
      </c>
      <c r="C98" s="36" t="s">
        <v>631</v>
      </c>
      <c r="D98" s="38">
        <v>2932.56</v>
      </c>
      <c r="E98" s="38">
        <v>3804</v>
      </c>
      <c r="F98" s="39">
        <v>46111</v>
      </c>
      <c r="G98" s="36" t="s">
        <v>111</v>
      </c>
      <c r="H98" s="36" t="s">
        <v>542</v>
      </c>
      <c r="I98" s="36" t="s">
        <v>632</v>
      </c>
      <c r="J98" s="36" t="s">
        <v>236</v>
      </c>
      <c r="K98" s="36" t="s">
        <v>237</v>
      </c>
      <c r="L98" s="40">
        <v>46097</v>
      </c>
      <c r="M98" s="40">
        <v>46097</v>
      </c>
      <c r="N98" s="41">
        <v>46097</v>
      </c>
      <c r="O98" s="36" t="s">
        <v>325</v>
      </c>
      <c r="P98" s="41" t="s">
        <v>326</v>
      </c>
      <c r="Q98" s="36" t="s">
        <v>258</v>
      </c>
      <c r="R98" s="36" t="s">
        <v>45</v>
      </c>
      <c r="S98" s="36" t="s">
        <v>45</v>
      </c>
      <c r="T98" s="36" t="s">
        <v>633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239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242</v>
      </c>
      <c r="AI98" s="38" t="s">
        <v>242</v>
      </c>
      <c r="AJ98" s="38" t="s">
        <v>242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239</v>
      </c>
      <c r="AX98" s="38">
        <v>760.80000000000018</v>
      </c>
      <c r="AY98" s="45">
        <v>0</v>
      </c>
      <c r="AZ98" s="46" t="s">
        <v>243</v>
      </c>
      <c r="BA98" s="47"/>
      <c r="BB98" s="36"/>
      <c r="BC98" s="36"/>
      <c r="BD98" s="36">
        <v>0</v>
      </c>
      <c r="BE98" s="36">
        <v>2</v>
      </c>
      <c r="BF98" s="36" t="s">
        <v>244</v>
      </c>
      <c r="BG98" s="36" t="s">
        <v>114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634</v>
      </c>
      <c r="B99" s="36" t="s">
        <v>635</v>
      </c>
      <c r="C99" s="36" t="s">
        <v>636</v>
      </c>
      <c r="D99" s="38">
        <v>2932.56</v>
      </c>
      <c r="E99" s="38">
        <v>3804</v>
      </c>
      <c r="F99" s="39">
        <v>46111</v>
      </c>
      <c r="G99" s="36" t="s">
        <v>111</v>
      </c>
      <c r="H99" s="36" t="s">
        <v>542</v>
      </c>
      <c r="I99" s="36" t="s">
        <v>637</v>
      </c>
      <c r="J99" s="36" t="s">
        <v>236</v>
      </c>
      <c r="K99" s="36" t="s">
        <v>237</v>
      </c>
      <c r="L99" s="40">
        <v>46093</v>
      </c>
      <c r="M99" s="40">
        <v>46093</v>
      </c>
      <c r="N99" s="41">
        <v>46093</v>
      </c>
      <c r="O99" s="36" t="s">
        <v>325</v>
      </c>
      <c r="P99" s="41" t="s">
        <v>326</v>
      </c>
      <c r="Q99" s="36" t="s">
        <v>258</v>
      </c>
      <c r="R99" s="36" t="s">
        <v>45</v>
      </c>
      <c r="S99" s="36" t="s">
        <v>45</v>
      </c>
      <c r="T99" s="36" t="s">
        <v>616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239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242</v>
      </c>
      <c r="AI99" s="38" t="s">
        <v>242</v>
      </c>
      <c r="AJ99" s="38" t="s">
        <v>242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239</v>
      </c>
      <c r="AX99" s="38">
        <v>760.80000000000018</v>
      </c>
      <c r="AY99" s="45">
        <v>0</v>
      </c>
      <c r="AZ99" s="46" t="s">
        <v>243</v>
      </c>
      <c r="BA99" s="47"/>
      <c r="BB99" s="36"/>
      <c r="BC99" s="36"/>
      <c r="BD99" s="36">
        <v>1</v>
      </c>
      <c r="BE99" s="36">
        <v>4</v>
      </c>
      <c r="BF99" s="36" t="s">
        <v>244</v>
      </c>
      <c r="BG99" s="36" t="s">
        <v>114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638</v>
      </c>
      <c r="B100" s="36" t="s">
        <v>639</v>
      </c>
      <c r="C100" s="36" t="s">
        <v>640</v>
      </c>
      <c r="D100" s="38">
        <v>2932.56</v>
      </c>
      <c r="E100" s="38">
        <v>3804</v>
      </c>
      <c r="F100" s="39">
        <v>46111</v>
      </c>
      <c r="G100" s="36" t="s">
        <v>111</v>
      </c>
      <c r="H100" s="36" t="s">
        <v>542</v>
      </c>
      <c r="I100" s="36" t="s">
        <v>641</v>
      </c>
      <c r="J100" s="36" t="s">
        <v>236</v>
      </c>
      <c r="K100" s="36" t="s">
        <v>237</v>
      </c>
      <c r="L100" s="40">
        <v>46097</v>
      </c>
      <c r="M100" s="40">
        <v>46097</v>
      </c>
      <c r="N100" s="41">
        <v>46097</v>
      </c>
      <c r="O100" s="36" t="s">
        <v>325</v>
      </c>
      <c r="P100" s="41" t="s">
        <v>326</v>
      </c>
      <c r="Q100" s="36" t="s">
        <v>258</v>
      </c>
      <c r="R100" s="36" t="s">
        <v>45</v>
      </c>
      <c r="S100" s="36" t="s">
        <v>45</v>
      </c>
      <c r="T100" s="36" t="s">
        <v>633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239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242</v>
      </c>
      <c r="AI100" s="38" t="s">
        <v>242</v>
      </c>
      <c r="AJ100" s="38" t="s">
        <v>242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239</v>
      </c>
      <c r="AX100" s="38">
        <v>760.80000000000018</v>
      </c>
      <c r="AY100" s="45">
        <v>0</v>
      </c>
      <c r="AZ100" s="46" t="s">
        <v>243</v>
      </c>
      <c r="BA100" s="47"/>
      <c r="BB100" s="36"/>
      <c r="BC100" s="36"/>
      <c r="BD100" s="36">
        <v>0</v>
      </c>
      <c r="BE100" s="36">
        <v>2</v>
      </c>
      <c r="BF100" s="36" t="s">
        <v>244</v>
      </c>
      <c r="BG100" s="36" t="s">
        <v>114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642</v>
      </c>
      <c r="B101" s="36" t="s">
        <v>643</v>
      </c>
      <c r="C101" s="36" t="s">
        <v>644</v>
      </c>
      <c r="D101" s="38">
        <v>1537.29</v>
      </c>
      <c r="E101" s="38">
        <v>2081</v>
      </c>
      <c r="F101" s="39">
        <v>46111</v>
      </c>
      <c r="G101" s="36" t="s">
        <v>111</v>
      </c>
      <c r="H101" s="36" t="s">
        <v>303</v>
      </c>
      <c r="I101" s="36" t="s">
        <v>645</v>
      </c>
      <c r="J101" s="36" t="s">
        <v>236</v>
      </c>
      <c r="K101" s="36" t="s">
        <v>237</v>
      </c>
      <c r="L101" s="40">
        <v>46093</v>
      </c>
      <c r="M101" s="40">
        <v>46093</v>
      </c>
      <c r="N101" s="41">
        <v>46093</v>
      </c>
      <c r="O101" s="36" t="s">
        <v>325</v>
      </c>
      <c r="P101" s="41" t="s">
        <v>326</v>
      </c>
      <c r="Q101" s="36" t="s">
        <v>258</v>
      </c>
      <c r="R101" s="36" t="s">
        <v>45</v>
      </c>
      <c r="S101" s="36" t="s">
        <v>45</v>
      </c>
      <c r="T101" s="36" t="s">
        <v>616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239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242</v>
      </c>
      <c r="AI101" s="38" t="s">
        <v>242</v>
      </c>
      <c r="AJ101" s="38" t="s">
        <v>242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239</v>
      </c>
      <c r="AX101" s="38">
        <v>394</v>
      </c>
      <c r="AY101" s="45">
        <v>246</v>
      </c>
      <c r="AZ101" s="46" t="s">
        <v>243</v>
      </c>
      <c r="BA101" s="47"/>
      <c r="BB101" s="36"/>
      <c r="BC101" s="36"/>
      <c r="BD101" s="36">
        <v>0</v>
      </c>
      <c r="BE101" s="36">
        <v>22</v>
      </c>
      <c r="BF101" s="36" t="s">
        <v>244</v>
      </c>
      <c r="BG101" s="36" t="s">
        <v>114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646</v>
      </c>
      <c r="B102" s="36" t="s">
        <v>647</v>
      </c>
      <c r="C102" s="36" t="s">
        <v>648</v>
      </c>
      <c r="D102" s="38">
        <v>21666.04</v>
      </c>
      <c r="E102" s="38">
        <v>26422</v>
      </c>
      <c r="F102" s="39">
        <v>46111</v>
      </c>
      <c r="G102" s="36" t="s">
        <v>118</v>
      </c>
      <c r="H102" s="36" t="s">
        <v>298</v>
      </c>
      <c r="I102" s="36" t="s">
        <v>649</v>
      </c>
      <c r="J102" s="36" t="s">
        <v>236</v>
      </c>
      <c r="K102" s="36" t="s">
        <v>237</v>
      </c>
      <c r="L102" s="40">
        <v>46097</v>
      </c>
      <c r="M102" s="40">
        <v>46100</v>
      </c>
      <c r="N102" s="41">
        <v>46100</v>
      </c>
      <c r="O102" s="36" t="s">
        <v>238</v>
      </c>
      <c r="P102" s="41" t="s">
        <v>239</v>
      </c>
      <c r="Q102" s="36" t="s">
        <v>240</v>
      </c>
      <c r="R102" s="36" t="s">
        <v>45</v>
      </c>
      <c r="S102" s="36" t="s">
        <v>45</v>
      </c>
      <c r="T102" s="36" t="s">
        <v>633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242</v>
      </c>
      <c r="AI102" s="38" t="s">
        <v>242</v>
      </c>
      <c r="AJ102" s="38" t="s">
        <v>242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239</v>
      </c>
      <c r="AX102" s="38">
        <v>0</v>
      </c>
      <c r="AY102" s="45">
        <v>300</v>
      </c>
      <c r="AZ102" s="46" t="s">
        <v>243</v>
      </c>
      <c r="BA102" s="47"/>
      <c r="BB102" s="36"/>
      <c r="BC102" s="36"/>
      <c r="BD102" s="36">
        <v>5</v>
      </c>
      <c r="BE102" s="36">
        <v>6</v>
      </c>
      <c r="BF102" s="36" t="s">
        <v>244</v>
      </c>
      <c r="BG102" s="36" t="s">
        <v>112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650</v>
      </c>
      <c r="B103" s="36" t="s">
        <v>651</v>
      </c>
      <c r="C103" s="36" t="s">
        <v>652</v>
      </c>
      <c r="D103" s="38">
        <v>1537.29</v>
      </c>
      <c r="E103" s="38">
        <v>2081</v>
      </c>
      <c r="F103" s="39">
        <v>46111</v>
      </c>
      <c r="G103" s="36" t="s">
        <v>111</v>
      </c>
      <c r="H103" s="36" t="s">
        <v>303</v>
      </c>
      <c r="I103" s="36" t="s">
        <v>653</v>
      </c>
      <c r="J103" s="36" t="s">
        <v>236</v>
      </c>
      <c r="K103" s="36" t="s">
        <v>237</v>
      </c>
      <c r="L103" s="40">
        <v>46099</v>
      </c>
      <c r="M103" s="40">
        <v>46099</v>
      </c>
      <c r="N103" s="41">
        <v>46099</v>
      </c>
      <c r="O103" s="36" t="s">
        <v>325</v>
      </c>
      <c r="P103" s="41" t="s">
        <v>326</v>
      </c>
      <c r="Q103" s="36" t="s">
        <v>258</v>
      </c>
      <c r="R103" s="36" t="s">
        <v>45</v>
      </c>
      <c r="S103" s="36" t="s">
        <v>45</v>
      </c>
      <c r="T103" s="36" t="s">
        <v>633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239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242</v>
      </c>
      <c r="AI103" s="38" t="s">
        <v>242</v>
      </c>
      <c r="AJ103" s="38" t="s">
        <v>242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239</v>
      </c>
      <c r="AX103" s="38">
        <v>394</v>
      </c>
      <c r="AY103" s="45">
        <v>246</v>
      </c>
      <c r="AZ103" s="46" t="s">
        <v>243</v>
      </c>
      <c r="BA103" s="47"/>
      <c r="BB103" s="36"/>
      <c r="BC103" s="36"/>
      <c r="BD103" s="36">
        <v>0</v>
      </c>
      <c r="BE103" s="36">
        <v>20</v>
      </c>
      <c r="BF103" s="36" t="s">
        <v>244</v>
      </c>
      <c r="BG103" s="36" t="s">
        <v>114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654</v>
      </c>
      <c r="B104" s="36" t="s">
        <v>655</v>
      </c>
      <c r="C104" s="36" t="s">
        <v>656</v>
      </c>
      <c r="D104" s="38">
        <v>2932.56</v>
      </c>
      <c r="E104" s="38">
        <v>3804</v>
      </c>
      <c r="F104" s="39">
        <v>46111</v>
      </c>
      <c r="G104" s="36" t="s">
        <v>111</v>
      </c>
      <c r="H104" s="36" t="s">
        <v>542</v>
      </c>
      <c r="I104" s="36" t="s">
        <v>657</v>
      </c>
      <c r="J104" s="36" t="s">
        <v>236</v>
      </c>
      <c r="K104" s="36" t="s">
        <v>237</v>
      </c>
      <c r="L104" s="40">
        <v>46097</v>
      </c>
      <c r="M104" s="40">
        <v>46097</v>
      </c>
      <c r="N104" s="41">
        <v>46097</v>
      </c>
      <c r="O104" s="36" t="s">
        <v>325</v>
      </c>
      <c r="P104" s="41" t="s">
        <v>326</v>
      </c>
      <c r="Q104" s="36" t="s">
        <v>258</v>
      </c>
      <c r="R104" s="36" t="s">
        <v>45</v>
      </c>
      <c r="S104" s="36" t="s">
        <v>45</v>
      </c>
      <c r="T104" s="36" t="s">
        <v>633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239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242</v>
      </c>
      <c r="AI104" s="38" t="s">
        <v>242</v>
      </c>
      <c r="AJ104" s="38" t="s">
        <v>242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239</v>
      </c>
      <c r="AX104" s="38">
        <v>760.80000000000018</v>
      </c>
      <c r="AY104" s="45">
        <v>2400</v>
      </c>
      <c r="AZ104" s="46" t="s">
        <v>243</v>
      </c>
      <c r="BA104" s="47"/>
      <c r="BB104" s="36"/>
      <c r="BC104" s="36"/>
      <c r="BD104" s="36">
        <v>0</v>
      </c>
      <c r="BE104" s="36">
        <v>25</v>
      </c>
      <c r="BF104" s="36" t="s">
        <v>244</v>
      </c>
      <c r="BG104" s="36" t="s">
        <v>114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658</v>
      </c>
      <c r="B105" s="36" t="s">
        <v>659</v>
      </c>
      <c r="C105" s="36" t="s">
        <v>660</v>
      </c>
      <c r="D105" s="38">
        <v>2932.56</v>
      </c>
      <c r="E105" s="38">
        <v>3804</v>
      </c>
      <c r="F105" s="39">
        <v>46111</v>
      </c>
      <c r="G105" s="36" t="s">
        <v>111</v>
      </c>
      <c r="H105" s="36" t="s">
        <v>542</v>
      </c>
      <c r="I105" s="36" t="s">
        <v>661</v>
      </c>
      <c r="J105" s="36" t="s">
        <v>236</v>
      </c>
      <c r="K105" s="36" t="s">
        <v>237</v>
      </c>
      <c r="L105" s="40" t="s">
        <v>239</v>
      </c>
      <c r="M105" s="40" t="s">
        <v>239</v>
      </c>
      <c r="N105" s="41"/>
      <c r="O105" s="36" t="s">
        <v>325</v>
      </c>
      <c r="P105" s="41" t="s">
        <v>326</v>
      </c>
      <c r="Q105" s="36" t="s">
        <v>606</v>
      </c>
      <c r="R105" s="36" t="s">
        <v>606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239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239</v>
      </c>
      <c r="AI105" s="38" t="s">
        <v>239</v>
      </c>
      <c r="AJ105" s="38" t="s">
        <v>239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239</v>
      </c>
      <c r="AV105" s="44" t="s">
        <v>239</v>
      </c>
      <c r="AW105" s="44" t="s">
        <v>239</v>
      </c>
      <c r="AX105" s="38">
        <v>0</v>
      </c>
      <c r="AY105" s="45">
        <v>0</v>
      </c>
      <c r="AZ105" s="46" t="s">
        <v>239</v>
      </c>
      <c r="BA105" s="47"/>
      <c r="BB105" s="36"/>
      <c r="BC105" s="36"/>
      <c r="BD105" s="36"/>
      <c r="BE105" s="36"/>
      <c r="BF105" s="36" t="s">
        <v>606</v>
      </c>
      <c r="BG105" s="36" t="s">
        <v>606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662</v>
      </c>
      <c r="B106" s="36" t="s">
        <v>663</v>
      </c>
      <c r="C106" s="36" t="s">
        <v>664</v>
      </c>
      <c r="D106" s="38">
        <v>2932.56</v>
      </c>
      <c r="E106" s="38">
        <v>3804</v>
      </c>
      <c r="F106" s="39">
        <v>46111</v>
      </c>
      <c r="G106" s="36" t="s">
        <v>111</v>
      </c>
      <c r="H106" s="36" t="s">
        <v>542</v>
      </c>
      <c r="I106" s="36" t="s">
        <v>665</v>
      </c>
      <c r="J106" s="36" t="s">
        <v>236</v>
      </c>
      <c r="K106" s="36" t="s">
        <v>237</v>
      </c>
      <c r="L106" s="40">
        <v>46104</v>
      </c>
      <c r="M106" s="40">
        <v>46104</v>
      </c>
      <c r="N106" s="41">
        <v>46104</v>
      </c>
      <c r="O106" s="36" t="s">
        <v>325</v>
      </c>
      <c r="P106" s="41" t="s">
        <v>326</v>
      </c>
      <c r="Q106" s="36" t="s">
        <v>258</v>
      </c>
      <c r="R106" s="36" t="s">
        <v>45</v>
      </c>
      <c r="S106" s="36" t="s">
        <v>45</v>
      </c>
      <c r="T106" s="36" t="s">
        <v>666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239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242</v>
      </c>
      <c r="AI106" s="38" t="s">
        <v>242</v>
      </c>
      <c r="AJ106" s="38" t="s">
        <v>242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239</v>
      </c>
      <c r="AX106" s="38">
        <v>760.80000000000018</v>
      </c>
      <c r="AY106" s="45">
        <v>480</v>
      </c>
      <c r="AZ106" s="46" t="s">
        <v>243</v>
      </c>
      <c r="BA106" s="47"/>
      <c r="BB106" s="36"/>
      <c r="BC106" s="36"/>
      <c r="BD106" s="36">
        <v>1</v>
      </c>
      <c r="BE106" s="36"/>
      <c r="BF106" s="36" t="s">
        <v>244</v>
      </c>
      <c r="BG106" s="36" t="s">
        <v>114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667</v>
      </c>
      <c r="B107" s="36" t="s">
        <v>668</v>
      </c>
      <c r="C107" s="36" t="s">
        <v>669</v>
      </c>
      <c r="D107" s="38">
        <v>2932.56</v>
      </c>
      <c r="E107" s="38">
        <v>3804</v>
      </c>
      <c r="F107" s="39">
        <v>46111</v>
      </c>
      <c r="G107" s="36" t="s">
        <v>111</v>
      </c>
      <c r="H107" s="36" t="s">
        <v>542</v>
      </c>
      <c r="I107" s="36" t="s">
        <v>670</v>
      </c>
      <c r="J107" s="36" t="s">
        <v>236</v>
      </c>
      <c r="K107" s="36" t="s">
        <v>237</v>
      </c>
      <c r="L107" s="40">
        <v>46104</v>
      </c>
      <c r="M107" s="40">
        <v>46104</v>
      </c>
      <c r="N107" s="41">
        <v>46104</v>
      </c>
      <c r="O107" s="36" t="s">
        <v>325</v>
      </c>
      <c r="P107" s="41" t="s">
        <v>326</v>
      </c>
      <c r="Q107" s="36" t="s">
        <v>258</v>
      </c>
      <c r="R107" s="36" t="s">
        <v>45</v>
      </c>
      <c r="S107" s="36" t="s">
        <v>45</v>
      </c>
      <c r="T107" s="36" t="s">
        <v>666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239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242</v>
      </c>
      <c r="AI107" s="38" t="s">
        <v>242</v>
      </c>
      <c r="AJ107" s="38" t="s">
        <v>242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239</v>
      </c>
      <c r="AX107" s="38">
        <v>760.80000000000018</v>
      </c>
      <c r="AY107" s="45">
        <v>480</v>
      </c>
      <c r="AZ107" s="46" t="s">
        <v>243</v>
      </c>
      <c r="BA107" s="47"/>
      <c r="BB107" s="36"/>
      <c r="BC107" s="36"/>
      <c r="BD107" s="36">
        <v>1</v>
      </c>
      <c r="BE107" s="36">
        <v>44</v>
      </c>
      <c r="BF107" s="36" t="s">
        <v>244</v>
      </c>
      <c r="BG107" s="36" t="s">
        <v>114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671</v>
      </c>
      <c r="B108" s="36" t="s">
        <v>672</v>
      </c>
      <c r="C108" s="36" t="s">
        <v>673</v>
      </c>
      <c r="D108" s="38">
        <v>2932.56</v>
      </c>
      <c r="E108" s="38">
        <v>3804</v>
      </c>
      <c r="F108" s="39">
        <v>46111</v>
      </c>
      <c r="G108" s="36" t="s">
        <v>111</v>
      </c>
      <c r="H108" s="36" t="s">
        <v>542</v>
      </c>
      <c r="I108" s="36" t="s">
        <v>674</v>
      </c>
      <c r="J108" s="36" t="s">
        <v>236</v>
      </c>
      <c r="K108" s="36" t="s">
        <v>237</v>
      </c>
      <c r="L108" s="40">
        <v>46104</v>
      </c>
      <c r="M108" s="40">
        <v>46104</v>
      </c>
      <c r="N108" s="41">
        <v>46104</v>
      </c>
      <c r="O108" s="36" t="s">
        <v>325</v>
      </c>
      <c r="P108" s="41" t="s">
        <v>326</v>
      </c>
      <c r="Q108" s="36" t="s">
        <v>258</v>
      </c>
      <c r="R108" s="36" t="s">
        <v>45</v>
      </c>
      <c r="S108" s="36" t="s">
        <v>45</v>
      </c>
      <c r="T108" s="36" t="s">
        <v>666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239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242</v>
      </c>
      <c r="AI108" s="38" t="s">
        <v>242</v>
      </c>
      <c r="AJ108" s="38" t="s">
        <v>242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239</v>
      </c>
      <c r="AX108" s="38">
        <v>760.80000000000018</v>
      </c>
      <c r="AY108" s="45">
        <v>480</v>
      </c>
      <c r="AZ108" s="46" t="s">
        <v>243</v>
      </c>
      <c r="BA108" s="47"/>
      <c r="BB108" s="36"/>
      <c r="BC108" s="36"/>
      <c r="BD108" s="36">
        <v>1</v>
      </c>
      <c r="BE108" s="36">
        <v>44</v>
      </c>
      <c r="BF108" s="36" t="s">
        <v>244</v>
      </c>
      <c r="BG108" s="36" t="s">
        <v>114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675</v>
      </c>
      <c r="B109" s="36" t="s">
        <v>676</v>
      </c>
      <c r="C109" s="36" t="s">
        <v>677</v>
      </c>
      <c r="D109" s="38">
        <v>2932.56</v>
      </c>
      <c r="E109" s="38">
        <v>3804</v>
      </c>
      <c r="F109" s="39">
        <v>46111</v>
      </c>
      <c r="G109" s="36" t="s">
        <v>111</v>
      </c>
      <c r="H109" s="36" t="s">
        <v>542</v>
      </c>
      <c r="I109" s="36" t="s">
        <v>678</v>
      </c>
      <c r="J109" s="36" t="s">
        <v>236</v>
      </c>
      <c r="K109" s="36" t="s">
        <v>237</v>
      </c>
      <c r="L109" s="40">
        <v>46104</v>
      </c>
      <c r="M109" s="40">
        <v>46104</v>
      </c>
      <c r="N109" s="41">
        <v>46104</v>
      </c>
      <c r="O109" s="36" t="s">
        <v>325</v>
      </c>
      <c r="P109" s="41" t="s">
        <v>326</v>
      </c>
      <c r="Q109" s="36" t="s">
        <v>258</v>
      </c>
      <c r="R109" s="36" t="s">
        <v>45</v>
      </c>
      <c r="S109" s="36" t="s">
        <v>45</v>
      </c>
      <c r="T109" s="36" t="s">
        <v>666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239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242</v>
      </c>
      <c r="AI109" s="38" t="s">
        <v>242</v>
      </c>
      <c r="AJ109" s="38" t="s">
        <v>242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239</v>
      </c>
      <c r="AX109" s="38">
        <v>760.80000000000018</v>
      </c>
      <c r="AY109" s="45">
        <v>480</v>
      </c>
      <c r="AZ109" s="46" t="s">
        <v>243</v>
      </c>
      <c r="BA109" s="47"/>
      <c r="BB109" s="36"/>
      <c r="BC109" s="36"/>
      <c r="BD109" s="36">
        <v>1</v>
      </c>
      <c r="BE109" s="36">
        <v>44</v>
      </c>
      <c r="BF109" s="36" t="s">
        <v>244</v>
      </c>
      <c r="BG109" s="36" t="s">
        <v>114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679</v>
      </c>
      <c r="B110" s="36" t="s">
        <v>680</v>
      </c>
      <c r="C110" s="36" t="s">
        <v>681</v>
      </c>
      <c r="D110" s="38">
        <v>2050.4700000000003</v>
      </c>
      <c r="E110" s="38">
        <v>2783</v>
      </c>
      <c r="F110" s="39">
        <v>46111</v>
      </c>
      <c r="G110" s="36" t="s">
        <v>111</v>
      </c>
      <c r="H110" s="36" t="s">
        <v>542</v>
      </c>
      <c r="I110" s="36" t="s">
        <v>611</v>
      </c>
      <c r="J110" s="36" t="s">
        <v>236</v>
      </c>
      <c r="K110" s="36" t="s">
        <v>237</v>
      </c>
      <c r="L110" s="40">
        <v>46104</v>
      </c>
      <c r="M110" s="40">
        <v>46104</v>
      </c>
      <c r="N110" s="41">
        <v>46104</v>
      </c>
      <c r="O110" s="36" t="s">
        <v>325</v>
      </c>
      <c r="P110" s="41" t="s">
        <v>326</v>
      </c>
      <c r="Q110" s="36" t="s">
        <v>258</v>
      </c>
      <c r="R110" s="36" t="s">
        <v>45</v>
      </c>
      <c r="S110" s="36" t="s">
        <v>45</v>
      </c>
      <c r="T110" s="36" t="s">
        <v>666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239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242</v>
      </c>
      <c r="AI110" s="38" t="s">
        <v>242</v>
      </c>
      <c r="AJ110" s="38" t="s">
        <v>242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239</v>
      </c>
      <c r="AX110" s="38">
        <v>282.60000000000036</v>
      </c>
      <c r="AY110" s="45">
        <v>326</v>
      </c>
      <c r="AZ110" s="46" t="s">
        <v>243</v>
      </c>
      <c r="BA110" s="47"/>
      <c r="BB110" s="36"/>
      <c r="BC110" s="36"/>
      <c r="BD110" s="36">
        <v>1</v>
      </c>
      <c r="BE110" s="36"/>
      <c r="BF110" s="36" t="s">
        <v>244</v>
      </c>
      <c r="BG110" s="36" t="s">
        <v>114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682</v>
      </c>
      <c r="B111" s="36" t="s">
        <v>683</v>
      </c>
      <c r="C111" s="36" t="s">
        <v>684</v>
      </c>
      <c r="D111" s="38">
        <v>1537.29</v>
      </c>
      <c r="E111" s="38">
        <v>2081</v>
      </c>
      <c r="F111" s="39">
        <v>46111</v>
      </c>
      <c r="G111" s="36" t="s">
        <v>111</v>
      </c>
      <c r="H111" s="36" t="s">
        <v>303</v>
      </c>
      <c r="I111" s="36" t="s">
        <v>685</v>
      </c>
      <c r="J111" s="36" t="s">
        <v>236</v>
      </c>
      <c r="K111" s="36" t="s">
        <v>237</v>
      </c>
      <c r="L111" s="40">
        <v>46099</v>
      </c>
      <c r="M111" s="40">
        <v>46099</v>
      </c>
      <c r="N111" s="41">
        <v>46099</v>
      </c>
      <c r="O111" s="36" t="s">
        <v>325</v>
      </c>
      <c r="P111" s="41" t="s">
        <v>326</v>
      </c>
      <c r="Q111" s="36" t="s">
        <v>258</v>
      </c>
      <c r="R111" s="36" t="s">
        <v>45</v>
      </c>
      <c r="S111" s="36" t="s">
        <v>45</v>
      </c>
      <c r="T111" s="36" t="s">
        <v>633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239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242</v>
      </c>
      <c r="AI111" s="38" t="s">
        <v>242</v>
      </c>
      <c r="AJ111" s="38" t="s">
        <v>242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239</v>
      </c>
      <c r="AX111" s="38">
        <v>2347.4</v>
      </c>
      <c r="AY111" s="45">
        <v>602</v>
      </c>
      <c r="AZ111" s="46" t="s">
        <v>243</v>
      </c>
      <c r="BA111" s="47"/>
      <c r="BB111" s="36"/>
      <c r="BC111" s="36"/>
      <c r="BD111" s="36">
        <v>1</v>
      </c>
      <c r="BE111" s="36">
        <v>20</v>
      </c>
      <c r="BF111" s="36" t="s">
        <v>244</v>
      </c>
      <c r="BG111" s="36" t="s">
        <v>114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686</v>
      </c>
      <c r="B112" s="36" t="s">
        <v>687</v>
      </c>
      <c r="C112" s="36" t="s">
        <v>688</v>
      </c>
      <c r="D112" s="38">
        <v>4636.1099999999997</v>
      </c>
      <c r="E112" s="38">
        <v>5972.2</v>
      </c>
      <c r="F112" s="39">
        <v>46111</v>
      </c>
      <c r="G112" s="36" t="s">
        <v>111</v>
      </c>
      <c r="H112" s="36" t="s">
        <v>323</v>
      </c>
      <c r="I112" s="36" t="s">
        <v>689</v>
      </c>
      <c r="J112" s="36" t="s">
        <v>236</v>
      </c>
      <c r="K112" s="36" t="s">
        <v>237</v>
      </c>
      <c r="L112" s="40">
        <v>46101</v>
      </c>
      <c r="M112" s="40">
        <v>46101</v>
      </c>
      <c r="N112" s="41">
        <v>46101</v>
      </c>
      <c r="O112" s="36" t="s">
        <v>325</v>
      </c>
      <c r="P112" s="41" t="s">
        <v>326</v>
      </c>
      <c r="Q112" s="36" t="s">
        <v>258</v>
      </c>
      <c r="R112" s="36" t="s">
        <v>45</v>
      </c>
      <c r="S112" s="36" t="s">
        <v>45</v>
      </c>
      <c r="T112" s="36" t="s">
        <v>633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242</v>
      </c>
      <c r="AI112" s="38" t="s">
        <v>242</v>
      </c>
      <c r="AJ112" s="38" t="s">
        <v>242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239</v>
      </c>
      <c r="AX112" s="38">
        <v>874.04</v>
      </c>
      <c r="AY112" s="45">
        <v>3270</v>
      </c>
      <c r="AZ112" s="46" t="s">
        <v>243</v>
      </c>
      <c r="BA112" s="47"/>
      <c r="BB112" s="36"/>
      <c r="BC112" s="36"/>
      <c r="BD112" s="36">
        <v>0</v>
      </c>
      <c r="BE112" s="36">
        <v>12</v>
      </c>
      <c r="BF112" s="36" t="s">
        <v>244</v>
      </c>
      <c r="BG112" s="36" t="s">
        <v>114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690</v>
      </c>
      <c r="B113" s="36" t="s">
        <v>691</v>
      </c>
      <c r="C113" s="36" t="s">
        <v>692</v>
      </c>
      <c r="D113" s="38">
        <v>1466.28</v>
      </c>
      <c r="E113" s="38">
        <v>1902</v>
      </c>
      <c r="F113" s="39">
        <v>46111</v>
      </c>
      <c r="G113" s="36" t="s">
        <v>111</v>
      </c>
      <c r="H113" s="36" t="s">
        <v>542</v>
      </c>
      <c r="I113" s="36" t="s">
        <v>693</v>
      </c>
      <c r="J113" s="36" t="s">
        <v>236</v>
      </c>
      <c r="K113" s="36" t="s">
        <v>237</v>
      </c>
      <c r="L113" s="40">
        <v>46101</v>
      </c>
      <c r="M113" s="40">
        <v>46101</v>
      </c>
      <c r="N113" s="41">
        <v>46101</v>
      </c>
      <c r="O113" s="36" t="s">
        <v>325</v>
      </c>
      <c r="P113" s="41" t="s">
        <v>326</v>
      </c>
      <c r="Q113" s="36" t="s">
        <v>258</v>
      </c>
      <c r="R113" s="36" t="s">
        <v>45</v>
      </c>
      <c r="S113" s="36" t="s">
        <v>45</v>
      </c>
      <c r="T113" s="36" t="s">
        <v>633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242</v>
      </c>
      <c r="AI113" s="38" t="s">
        <v>242</v>
      </c>
      <c r="AJ113" s="38" t="s">
        <v>242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239</v>
      </c>
      <c r="AX113" s="38">
        <v>380.40000000000009</v>
      </c>
      <c r="AY113" s="45">
        <v>1200</v>
      </c>
      <c r="AZ113" s="46" t="s">
        <v>243</v>
      </c>
      <c r="BA113" s="47"/>
      <c r="BB113" s="36"/>
      <c r="BC113" s="36"/>
      <c r="BD113" s="36">
        <v>0</v>
      </c>
      <c r="BE113" s="36">
        <v>75</v>
      </c>
      <c r="BF113" s="36" t="s">
        <v>244</v>
      </c>
      <c r="BG113" s="36" t="s">
        <v>114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694</v>
      </c>
      <c r="B114" s="36" t="s">
        <v>695</v>
      </c>
      <c r="C114" s="36" t="s">
        <v>696</v>
      </c>
      <c r="D114" s="38">
        <v>1466.28</v>
      </c>
      <c r="E114" s="38">
        <v>1902</v>
      </c>
      <c r="F114" s="39">
        <v>46111</v>
      </c>
      <c r="G114" s="36" t="s">
        <v>111</v>
      </c>
      <c r="H114" s="36" t="s">
        <v>542</v>
      </c>
      <c r="I114" s="36" t="s">
        <v>689</v>
      </c>
      <c r="J114" s="36" t="s">
        <v>236</v>
      </c>
      <c r="K114" s="36" t="s">
        <v>237</v>
      </c>
      <c r="L114" s="40">
        <v>46101</v>
      </c>
      <c r="M114" s="40">
        <v>46101</v>
      </c>
      <c r="N114" s="41">
        <v>46101</v>
      </c>
      <c r="O114" s="36" t="s">
        <v>325</v>
      </c>
      <c r="P114" s="41" t="s">
        <v>326</v>
      </c>
      <c r="Q114" s="36" t="s">
        <v>258</v>
      </c>
      <c r="R114" s="36" t="s">
        <v>45</v>
      </c>
      <c r="S114" s="36" t="s">
        <v>45</v>
      </c>
      <c r="T114" s="36" t="s">
        <v>633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239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242</v>
      </c>
      <c r="AI114" s="38" t="s">
        <v>242</v>
      </c>
      <c r="AJ114" s="38" t="s">
        <v>242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239</v>
      </c>
      <c r="AX114" s="38">
        <v>380.40000000000009</v>
      </c>
      <c r="AY114" s="45">
        <v>240</v>
      </c>
      <c r="AZ114" s="46" t="s">
        <v>243</v>
      </c>
      <c r="BA114" s="47"/>
      <c r="BB114" s="36"/>
      <c r="BC114" s="36"/>
      <c r="BD114" s="36">
        <v>0</v>
      </c>
      <c r="BE114" s="36">
        <v>75</v>
      </c>
      <c r="BF114" s="36" t="s">
        <v>244</v>
      </c>
      <c r="BG114" s="36" t="s">
        <v>114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697</v>
      </c>
      <c r="B115" s="36" t="s">
        <v>698</v>
      </c>
      <c r="C115" s="36" t="s">
        <v>699</v>
      </c>
      <c r="D115" s="38">
        <v>2932.56</v>
      </c>
      <c r="E115" s="38">
        <v>3804</v>
      </c>
      <c r="F115" s="39">
        <v>46103</v>
      </c>
      <c r="G115" s="36" t="s">
        <v>111</v>
      </c>
      <c r="H115" s="36" t="s">
        <v>542</v>
      </c>
      <c r="I115" s="36" t="s">
        <v>700</v>
      </c>
      <c r="J115" s="36" t="s">
        <v>236</v>
      </c>
      <c r="K115" s="36" t="s">
        <v>237</v>
      </c>
      <c r="L115" s="40">
        <v>46106</v>
      </c>
      <c r="M115" s="40">
        <v>46106</v>
      </c>
      <c r="N115" s="41">
        <v>46106</v>
      </c>
      <c r="O115" s="36" t="s">
        <v>325</v>
      </c>
      <c r="P115" s="41" t="s">
        <v>326</v>
      </c>
      <c r="Q115" s="36" t="s">
        <v>258</v>
      </c>
      <c r="R115" s="36" t="s">
        <v>45</v>
      </c>
      <c r="S115" s="36" t="s">
        <v>45</v>
      </c>
      <c r="T115" s="36" t="s">
        <v>666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239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242</v>
      </c>
      <c r="AI115" s="38" t="s">
        <v>242</v>
      </c>
      <c r="AJ115" s="38" t="s">
        <v>242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239</v>
      </c>
      <c r="AX115" s="38">
        <v>760.80000000000018</v>
      </c>
      <c r="AY115" s="45">
        <v>480</v>
      </c>
      <c r="AZ115" s="46" t="s">
        <v>243</v>
      </c>
      <c r="BA115" s="47"/>
      <c r="BB115" s="36"/>
      <c r="BC115" s="36"/>
      <c r="BD115" s="36">
        <v>1</v>
      </c>
      <c r="BE115" s="36">
        <v>1</v>
      </c>
      <c r="BF115" s="36" t="s">
        <v>244</v>
      </c>
      <c r="BG115" s="36" t="s">
        <v>114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701</v>
      </c>
      <c r="C116" s="36" t="s">
        <v>702</v>
      </c>
      <c r="D116" s="38"/>
      <c r="E116" s="38"/>
      <c r="F116" s="39">
        <v>46108</v>
      </c>
      <c r="G116" s="36" t="s">
        <v>111</v>
      </c>
      <c r="H116" s="36" t="s">
        <v>542</v>
      </c>
      <c r="I116" s="36" t="s">
        <v>703</v>
      </c>
      <c r="J116" s="36" t="s">
        <v>236</v>
      </c>
      <c r="K116" s="36" t="s">
        <v>237</v>
      </c>
      <c r="L116" s="40">
        <v>46106</v>
      </c>
      <c r="M116" s="40">
        <v>46106</v>
      </c>
      <c r="N116" s="41">
        <v>46106</v>
      </c>
      <c r="O116" s="36" t="s">
        <v>325</v>
      </c>
      <c r="P116" s="41" t="s">
        <v>326</v>
      </c>
      <c r="Q116" s="36" t="s">
        <v>258</v>
      </c>
      <c r="R116" s="36" t="s">
        <v>45</v>
      </c>
      <c r="S116" s="36" t="s">
        <v>45</v>
      </c>
      <c r="T116" s="36" t="s">
        <v>666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239</v>
      </c>
      <c r="AX116" s="38">
        <v>0</v>
      </c>
      <c r="AY116" s="45">
        <v>0</v>
      </c>
      <c r="AZ116" s="46" t="s">
        <v>243</v>
      </c>
      <c r="BA116" s="47"/>
      <c r="BB116" s="36"/>
      <c r="BC116" s="36"/>
      <c r="BD116" s="36">
        <v>0</v>
      </c>
      <c r="BE116" s="36">
        <v>1</v>
      </c>
      <c r="BF116" s="36" t="s">
        <v>244</v>
      </c>
      <c r="BG116" s="36" t="s">
        <v>114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704</v>
      </c>
      <c r="C117" s="36" t="s">
        <v>705</v>
      </c>
      <c r="D117" s="38"/>
      <c r="E117" s="38"/>
      <c r="F117" s="39">
        <v>46109</v>
      </c>
      <c r="G117" s="36" t="s">
        <v>111</v>
      </c>
      <c r="H117" s="36" t="s">
        <v>542</v>
      </c>
      <c r="I117" s="36" t="s">
        <v>706</v>
      </c>
      <c r="J117" s="36" t="s">
        <v>236</v>
      </c>
      <c r="K117" s="36" t="s">
        <v>237</v>
      </c>
      <c r="L117" s="40">
        <v>46106</v>
      </c>
      <c r="M117" s="40">
        <v>46106</v>
      </c>
      <c r="N117" s="41">
        <v>46106</v>
      </c>
      <c r="O117" s="36" t="s">
        <v>325</v>
      </c>
      <c r="P117" s="41" t="s">
        <v>326</v>
      </c>
      <c r="Q117" s="36" t="s">
        <v>258</v>
      </c>
      <c r="R117" s="36" t="s">
        <v>45</v>
      </c>
      <c r="S117" s="36" t="s">
        <v>45</v>
      </c>
      <c r="T117" s="36" t="s">
        <v>666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239</v>
      </c>
      <c r="AX117" s="38">
        <v>0</v>
      </c>
      <c r="AY117" s="45">
        <v>0</v>
      </c>
      <c r="AZ117" s="46" t="s">
        <v>243</v>
      </c>
      <c r="BA117" s="47"/>
      <c r="BB117" s="36"/>
      <c r="BC117" s="36"/>
      <c r="BD117" s="36">
        <v>0</v>
      </c>
      <c r="BE117" s="36">
        <v>1</v>
      </c>
      <c r="BF117" s="36" t="s">
        <v>244</v>
      </c>
      <c r="BG117" s="36" t="s">
        <v>114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707</v>
      </c>
      <c r="B118" s="36" t="s">
        <v>708</v>
      </c>
      <c r="C118" s="36" t="s">
        <v>709</v>
      </c>
      <c r="D118" s="38">
        <v>3417.82</v>
      </c>
      <c r="E118" s="38">
        <v>4413</v>
      </c>
      <c r="F118" s="39">
        <v>46111</v>
      </c>
      <c r="G118" s="36" t="s">
        <v>111</v>
      </c>
      <c r="H118" s="36" t="s">
        <v>610</v>
      </c>
      <c r="I118" s="36" t="s">
        <v>710</v>
      </c>
      <c r="J118" s="36" t="s">
        <v>236</v>
      </c>
      <c r="K118" s="36" t="s">
        <v>237</v>
      </c>
      <c r="L118" s="40">
        <v>46107</v>
      </c>
      <c r="M118" s="40">
        <v>46107</v>
      </c>
      <c r="N118" s="41">
        <v>46107</v>
      </c>
      <c r="O118" s="36" t="s">
        <v>325</v>
      </c>
      <c r="P118" s="41" t="s">
        <v>326</v>
      </c>
      <c r="Q118" s="36" t="s">
        <v>258</v>
      </c>
      <c r="R118" s="36" t="s">
        <v>45</v>
      </c>
      <c r="S118" s="36" t="s">
        <v>45</v>
      </c>
      <c r="T118" s="36" t="s">
        <v>666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242</v>
      </c>
      <c r="AI118" s="38" t="s">
        <v>242</v>
      </c>
      <c r="AJ118" s="38" t="s">
        <v>242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239</v>
      </c>
      <c r="AX118" s="38">
        <v>882.60000000000036</v>
      </c>
      <c r="AY118" s="45">
        <v>2800</v>
      </c>
      <c r="AZ118" s="46" t="s">
        <v>243</v>
      </c>
      <c r="BA118" s="47"/>
      <c r="BB118" s="36"/>
      <c r="BC118" s="36"/>
      <c r="BD118" s="36">
        <v>1</v>
      </c>
      <c r="BE118" s="36">
        <v>4</v>
      </c>
      <c r="BF118" s="36" t="s">
        <v>244</v>
      </c>
      <c r="BG118" s="36" t="s">
        <v>114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711</v>
      </c>
      <c r="B119" s="36" t="s">
        <v>712</v>
      </c>
      <c r="C119" s="36" t="s">
        <v>713</v>
      </c>
      <c r="D119" s="38">
        <v>2880.4</v>
      </c>
      <c r="E119" s="38">
        <v>3804</v>
      </c>
      <c r="F119" s="39">
        <v>46111</v>
      </c>
      <c r="G119" s="36" t="s">
        <v>111</v>
      </c>
      <c r="H119" s="36" t="s">
        <v>542</v>
      </c>
      <c r="I119" s="36" t="s">
        <v>714</v>
      </c>
      <c r="J119" s="36" t="s">
        <v>236</v>
      </c>
      <c r="K119" s="36" t="s">
        <v>237</v>
      </c>
      <c r="L119" s="40">
        <v>46106</v>
      </c>
      <c r="M119" s="40">
        <v>46106</v>
      </c>
      <c r="N119" s="41">
        <v>46106</v>
      </c>
      <c r="O119" s="36" t="s">
        <v>325</v>
      </c>
      <c r="P119" s="41" t="s">
        <v>326</v>
      </c>
      <c r="Q119" s="36" t="s">
        <v>258</v>
      </c>
      <c r="R119" s="36" t="s">
        <v>45</v>
      </c>
      <c r="S119" s="36" t="s">
        <v>45</v>
      </c>
      <c r="T119" s="36" t="s">
        <v>666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239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242</v>
      </c>
      <c r="AI119" s="38" t="s">
        <v>242</v>
      </c>
      <c r="AJ119" s="38" t="s">
        <v>242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239</v>
      </c>
      <c r="AX119" s="38">
        <v>760.80000000000018</v>
      </c>
      <c r="AY119" s="45">
        <v>480</v>
      </c>
      <c r="AZ119" s="46" t="s">
        <v>243</v>
      </c>
      <c r="BA119" s="47"/>
      <c r="BB119" s="36"/>
      <c r="BC119" s="36"/>
      <c r="BD119" s="36">
        <v>1</v>
      </c>
      <c r="BE119" s="36">
        <v>42</v>
      </c>
      <c r="BF119" s="36" t="s">
        <v>244</v>
      </c>
      <c r="BG119" s="36" t="s">
        <v>114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715</v>
      </c>
      <c r="B120" s="36" t="s">
        <v>716</v>
      </c>
      <c r="C120" s="36" t="s">
        <v>717</v>
      </c>
      <c r="D120" s="38">
        <v>2050.4700000000003</v>
      </c>
      <c r="E120" s="38">
        <v>2783</v>
      </c>
      <c r="F120" s="39">
        <v>46111</v>
      </c>
      <c r="G120" s="36" t="s">
        <v>111</v>
      </c>
      <c r="H120" s="36" t="s">
        <v>542</v>
      </c>
      <c r="I120" s="36" t="s">
        <v>718</v>
      </c>
      <c r="J120" s="36" t="s">
        <v>236</v>
      </c>
      <c r="K120" s="36" t="s">
        <v>237</v>
      </c>
      <c r="L120" s="40">
        <v>46106</v>
      </c>
      <c r="M120" s="40">
        <v>46106</v>
      </c>
      <c r="N120" s="41">
        <v>46106</v>
      </c>
      <c r="O120" s="36" t="s">
        <v>325</v>
      </c>
      <c r="P120" s="41" t="s">
        <v>326</v>
      </c>
      <c r="Q120" s="36" t="s">
        <v>258</v>
      </c>
      <c r="R120" s="36" t="s">
        <v>45</v>
      </c>
      <c r="S120" s="36" t="s">
        <v>45</v>
      </c>
      <c r="T120" s="36" t="s">
        <v>666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239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242</v>
      </c>
      <c r="AI120" s="38" t="s">
        <v>242</v>
      </c>
      <c r="AJ120" s="38" t="s">
        <v>242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239</v>
      </c>
      <c r="AX120" s="38">
        <v>282.59999999999991</v>
      </c>
      <c r="AY120" s="45">
        <v>326</v>
      </c>
      <c r="AZ120" s="46" t="s">
        <v>243</v>
      </c>
      <c r="BA120" s="47"/>
      <c r="BB120" s="36"/>
      <c r="BC120" s="36"/>
      <c r="BD120" s="36">
        <v>1</v>
      </c>
      <c r="BE120" s="36">
        <v>12</v>
      </c>
      <c r="BF120" s="36" t="s">
        <v>244</v>
      </c>
      <c r="BG120" s="36" t="s">
        <v>114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719</v>
      </c>
      <c r="B121" s="36" t="s">
        <v>720</v>
      </c>
      <c r="C121" s="36" t="s">
        <v>721</v>
      </c>
      <c r="D121" s="38">
        <v>13678.42</v>
      </c>
      <c r="E121" s="38">
        <v>16681</v>
      </c>
      <c r="F121" s="39">
        <v>46111</v>
      </c>
      <c r="G121" s="36" t="s">
        <v>118</v>
      </c>
      <c r="H121" s="36" t="s">
        <v>234</v>
      </c>
      <c r="I121" s="36" t="s">
        <v>722</v>
      </c>
      <c r="J121" s="36" t="s">
        <v>236</v>
      </c>
      <c r="K121" s="36" t="s">
        <v>237</v>
      </c>
      <c r="L121" s="40">
        <v>46111</v>
      </c>
      <c r="M121" s="40">
        <v>46112</v>
      </c>
      <c r="N121" s="41">
        <v>46112</v>
      </c>
      <c r="O121" s="36" t="s">
        <v>248</v>
      </c>
      <c r="P121" s="41" t="s">
        <v>239</v>
      </c>
      <c r="Q121" s="36" t="s">
        <v>240</v>
      </c>
      <c r="R121" s="36" t="s">
        <v>45</v>
      </c>
      <c r="S121" s="36" t="s">
        <v>160</v>
      </c>
      <c r="T121" s="36" t="s">
        <v>723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239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242</v>
      </c>
      <c r="AI121" s="38" t="s">
        <v>242</v>
      </c>
      <c r="AJ121" s="38" t="s">
        <v>242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239</v>
      </c>
      <c r="AX121" s="38">
        <v>1321.9999999999982</v>
      </c>
      <c r="AY121" s="45">
        <v>300</v>
      </c>
      <c r="AZ121" s="46" t="s">
        <v>243</v>
      </c>
      <c r="BA121" s="47"/>
      <c r="BB121" s="36"/>
      <c r="BC121" s="36"/>
      <c r="BD121" s="36">
        <v>2</v>
      </c>
      <c r="BE121" s="36">
        <v>5</v>
      </c>
      <c r="BF121" s="36" t="s">
        <v>244</v>
      </c>
      <c r="BG121" s="36" t="s">
        <v>112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724</v>
      </c>
      <c r="B122" s="36" t="s">
        <v>725</v>
      </c>
      <c r="C122" s="36" t="s">
        <v>726</v>
      </c>
      <c r="D122" s="38">
        <v>9765.380000000001</v>
      </c>
      <c r="E122" s="38">
        <v>11909</v>
      </c>
      <c r="F122" s="39">
        <v>46111</v>
      </c>
      <c r="G122" s="36" t="s">
        <v>118</v>
      </c>
      <c r="H122" s="36" t="s">
        <v>727</v>
      </c>
      <c r="I122" s="36" t="s">
        <v>728</v>
      </c>
      <c r="J122" s="36" t="s">
        <v>236</v>
      </c>
      <c r="K122" s="36" t="s">
        <v>237</v>
      </c>
      <c r="L122" s="40">
        <v>46111</v>
      </c>
      <c r="M122" s="40">
        <v>46112</v>
      </c>
      <c r="N122" s="41">
        <v>46112</v>
      </c>
      <c r="O122" s="36" t="s">
        <v>238</v>
      </c>
      <c r="P122" s="41" t="s">
        <v>239</v>
      </c>
      <c r="Q122" s="36" t="s">
        <v>240</v>
      </c>
      <c r="R122" s="36" t="s">
        <v>45</v>
      </c>
      <c r="S122" s="36" t="s">
        <v>160</v>
      </c>
      <c r="T122" s="36" t="s">
        <v>723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239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242</v>
      </c>
      <c r="AI122" s="38" t="s">
        <v>242</v>
      </c>
      <c r="AJ122" s="38" t="s">
        <v>242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239</v>
      </c>
      <c r="AX122" s="38">
        <v>0</v>
      </c>
      <c r="AY122" s="45">
        <v>300</v>
      </c>
      <c r="AZ122" s="46" t="s">
        <v>243</v>
      </c>
      <c r="BA122" s="47"/>
      <c r="BB122" s="36"/>
      <c r="BC122" s="36"/>
      <c r="BD122" s="36">
        <v>4</v>
      </c>
      <c r="BE122" s="36">
        <v>7</v>
      </c>
      <c r="BF122" s="36" t="s">
        <v>244</v>
      </c>
      <c r="BG122" s="36" t="s">
        <v>112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729</v>
      </c>
      <c r="B123" s="36" t="s">
        <v>730</v>
      </c>
      <c r="C123" s="36" t="s">
        <v>731</v>
      </c>
      <c r="D123" s="38">
        <v>1687.29</v>
      </c>
      <c r="E123" s="38">
        <v>2081</v>
      </c>
      <c r="F123" s="39">
        <v>46111</v>
      </c>
      <c r="G123" s="36" t="s">
        <v>111</v>
      </c>
      <c r="H123" s="36" t="s">
        <v>303</v>
      </c>
      <c r="I123" s="36" t="s">
        <v>732</v>
      </c>
      <c r="J123" s="36" t="s">
        <v>236</v>
      </c>
      <c r="K123" s="36" t="s">
        <v>237</v>
      </c>
      <c r="L123" s="40">
        <v>46113</v>
      </c>
      <c r="M123" s="40">
        <v>46113</v>
      </c>
      <c r="N123" s="41">
        <v>46113</v>
      </c>
      <c r="O123" s="36" t="s">
        <v>325</v>
      </c>
      <c r="P123" s="41" t="s">
        <v>326</v>
      </c>
      <c r="Q123" s="36" t="s">
        <v>258</v>
      </c>
      <c r="R123" s="36" t="s">
        <v>45</v>
      </c>
      <c r="S123" s="36" t="s">
        <v>307</v>
      </c>
      <c r="T123" s="36" t="s">
        <v>723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239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242</v>
      </c>
      <c r="AI123" s="38" t="s">
        <v>242</v>
      </c>
      <c r="AJ123" s="38" t="s">
        <v>242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239</v>
      </c>
      <c r="AX123" s="38">
        <v>394</v>
      </c>
      <c r="AY123" s="45">
        <v>1230</v>
      </c>
      <c r="AZ123" s="46" t="s">
        <v>243</v>
      </c>
      <c r="BA123" s="47"/>
      <c r="BB123" s="36"/>
      <c r="BC123" s="36"/>
      <c r="BD123" s="36">
        <v>0</v>
      </c>
      <c r="BE123" s="36">
        <v>19</v>
      </c>
      <c r="BF123" s="36" t="s">
        <v>244</v>
      </c>
      <c r="BG123" s="36" t="s">
        <v>114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733</v>
      </c>
      <c r="B124" s="36" t="s">
        <v>734</v>
      </c>
      <c r="C124" s="36" t="s">
        <v>735</v>
      </c>
      <c r="D124" s="38">
        <v>1830.96</v>
      </c>
      <c r="E124" s="38">
        <v>2364</v>
      </c>
      <c r="F124" s="39">
        <v>46142</v>
      </c>
      <c r="G124" s="36" t="s">
        <v>111</v>
      </c>
      <c r="H124" s="36" t="s">
        <v>323</v>
      </c>
      <c r="I124" s="36" t="s">
        <v>736</v>
      </c>
      <c r="J124" s="36" t="s">
        <v>236</v>
      </c>
      <c r="K124" s="36" t="s">
        <v>237</v>
      </c>
      <c r="L124" s="40">
        <v>46071</v>
      </c>
      <c r="M124" s="40">
        <v>46071</v>
      </c>
      <c r="N124" s="41">
        <v>46071</v>
      </c>
      <c r="O124" s="36" t="s">
        <v>325</v>
      </c>
      <c r="P124" s="41" t="s">
        <v>326</v>
      </c>
      <c r="Q124" s="36" t="s">
        <v>258</v>
      </c>
      <c r="R124" s="36" t="s">
        <v>45</v>
      </c>
      <c r="S124" s="36" t="s">
        <v>307</v>
      </c>
      <c r="T124" s="36" t="s">
        <v>412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239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242</v>
      </c>
      <c r="AI124" s="38" t="s">
        <v>242</v>
      </c>
      <c r="AJ124" s="38" t="s">
        <v>242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239</v>
      </c>
      <c r="AX124" s="38">
        <v>472.80000000000018</v>
      </c>
      <c r="AY124" s="45">
        <v>2230</v>
      </c>
      <c r="AZ124" s="46" t="s">
        <v>243</v>
      </c>
      <c r="BA124" s="47"/>
      <c r="BB124" s="36"/>
      <c r="BC124" s="36"/>
      <c r="BD124" s="36">
        <v>4</v>
      </c>
      <c r="BE124" s="36">
        <v>8</v>
      </c>
      <c r="BF124" s="36" t="s">
        <v>244</v>
      </c>
      <c r="BG124" s="36" t="s">
        <v>114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737</v>
      </c>
      <c r="B125" s="36" t="s">
        <v>738</v>
      </c>
      <c r="C125" s="36" t="s">
        <v>739</v>
      </c>
      <c r="D125" s="38">
        <v>17744.8</v>
      </c>
      <c r="E125" s="38">
        <v>21640</v>
      </c>
      <c r="F125" s="39">
        <v>46142</v>
      </c>
      <c r="G125" s="36" t="s">
        <v>118</v>
      </c>
      <c r="H125" s="36" t="s">
        <v>298</v>
      </c>
      <c r="I125" s="36" t="s">
        <v>740</v>
      </c>
      <c r="J125" s="36" t="s">
        <v>236</v>
      </c>
      <c r="K125" s="36" t="s">
        <v>237</v>
      </c>
      <c r="L125" s="40">
        <v>46134</v>
      </c>
      <c r="M125" s="40">
        <v>46139</v>
      </c>
      <c r="N125" s="41">
        <v>46139</v>
      </c>
      <c r="O125" s="36" t="s">
        <v>248</v>
      </c>
      <c r="P125" s="41" t="s">
        <v>239</v>
      </c>
      <c r="Q125" s="36" t="s">
        <v>240</v>
      </c>
      <c r="R125" s="36" t="s">
        <v>45</v>
      </c>
      <c r="S125" s="36" t="s">
        <v>160</v>
      </c>
      <c r="T125" s="36" t="s">
        <v>741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242</v>
      </c>
      <c r="AI125" s="38" t="s">
        <v>242</v>
      </c>
      <c r="AJ125" s="38" t="s">
        <v>242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239</v>
      </c>
      <c r="AX125" s="38">
        <v>7472.0000000000036</v>
      </c>
      <c r="AY125" s="45">
        <v>300</v>
      </c>
      <c r="AZ125" s="46" t="s">
        <v>243</v>
      </c>
      <c r="BA125" s="47"/>
      <c r="BB125" s="36"/>
      <c r="BC125" s="36"/>
      <c r="BD125" s="36">
        <v>2</v>
      </c>
      <c r="BE125" s="36">
        <v>4</v>
      </c>
      <c r="BF125" s="36" t="s">
        <v>244</v>
      </c>
      <c r="BG125" s="36" t="s">
        <v>112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742</v>
      </c>
      <c r="B126" s="36" t="s">
        <v>743</v>
      </c>
      <c r="C126" s="36" t="s">
        <v>744</v>
      </c>
      <c r="D126" s="38">
        <v>10722.32</v>
      </c>
      <c r="E126" s="38">
        <v>13076</v>
      </c>
      <c r="F126" s="39">
        <v>46142</v>
      </c>
      <c r="G126" s="36" t="s">
        <v>118</v>
      </c>
      <c r="H126" s="36" t="s">
        <v>727</v>
      </c>
      <c r="I126" s="36" t="s">
        <v>745</v>
      </c>
      <c r="J126" s="36" t="s">
        <v>236</v>
      </c>
      <c r="K126" s="36" t="s">
        <v>237</v>
      </c>
      <c r="L126" s="40">
        <v>46135</v>
      </c>
      <c r="M126" s="40">
        <v>46136</v>
      </c>
      <c r="N126" s="41">
        <v>46136</v>
      </c>
      <c r="O126" s="36" t="s">
        <v>238</v>
      </c>
      <c r="P126" s="41" t="s">
        <v>239</v>
      </c>
      <c r="Q126" s="36" t="s">
        <v>240</v>
      </c>
      <c r="R126" s="36" t="s">
        <v>45</v>
      </c>
      <c r="S126" s="36" t="s">
        <v>160</v>
      </c>
      <c r="T126" s="36" t="s">
        <v>746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242</v>
      </c>
      <c r="AI126" s="38" t="s">
        <v>242</v>
      </c>
      <c r="AJ126" s="38" t="s">
        <v>242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239</v>
      </c>
      <c r="AX126" s="38">
        <v>4232</v>
      </c>
      <c r="AY126" s="45">
        <v>300</v>
      </c>
      <c r="AZ126" s="46" t="s">
        <v>243</v>
      </c>
      <c r="BA126" s="47"/>
      <c r="BB126" s="36"/>
      <c r="BC126" s="36"/>
      <c r="BD126" s="36">
        <v>1</v>
      </c>
      <c r="BE126" s="36">
        <v>2</v>
      </c>
      <c r="BF126" s="36" t="s">
        <v>244</v>
      </c>
      <c r="BG126" s="36" t="s">
        <v>112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747</v>
      </c>
      <c r="C127" s="36" t="s">
        <v>748</v>
      </c>
      <c r="D127" s="38">
        <v>14830.4</v>
      </c>
      <c r="E127" s="38">
        <v>18252</v>
      </c>
      <c r="F127" s="39">
        <v>2502</v>
      </c>
      <c r="G127" s="36" t="s">
        <v>111</v>
      </c>
      <c r="H127" s="36" t="s">
        <v>749</v>
      </c>
      <c r="I127" s="36" t="s">
        <v>750</v>
      </c>
      <c r="J127" s="36" t="s">
        <v>236</v>
      </c>
      <c r="K127" s="36" t="s">
        <v>237</v>
      </c>
      <c r="L127" s="40">
        <v>46163</v>
      </c>
      <c r="M127" s="40">
        <v>46165</v>
      </c>
      <c r="N127" s="41">
        <v>46165</v>
      </c>
      <c r="O127" s="36" t="s">
        <v>238</v>
      </c>
      <c r="P127" s="41" t="s">
        <v>239</v>
      </c>
      <c r="Q127" s="36" t="s">
        <v>240</v>
      </c>
      <c r="R127" s="36" t="s">
        <v>45</v>
      </c>
      <c r="S127" s="36" t="s">
        <v>45</v>
      </c>
      <c r="T127" s="36" t="s">
        <v>751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239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242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239</v>
      </c>
      <c r="AX127" s="38">
        <v>19506</v>
      </c>
      <c r="AY127" s="45">
        <v>0</v>
      </c>
      <c r="AZ127" s="46" t="s">
        <v>243</v>
      </c>
      <c r="BA127" s="47"/>
      <c r="BB127" s="36"/>
      <c r="BC127" s="36"/>
      <c r="BD127" s="36"/>
      <c r="BE127" s="36"/>
      <c r="BF127" s="36" t="s">
        <v>244</v>
      </c>
      <c r="BG127" s="36" t="s">
        <v>112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752</v>
      </c>
      <c r="B128" s="36" t="s">
        <v>753</v>
      </c>
      <c r="C128" s="36" t="s">
        <v>754</v>
      </c>
      <c r="D128" s="38">
        <v>5865.46</v>
      </c>
      <c r="E128" s="38">
        <v>7153</v>
      </c>
      <c r="F128" s="39">
        <v>2605</v>
      </c>
      <c r="G128" s="36" t="s">
        <v>118</v>
      </c>
      <c r="H128" s="36" t="s">
        <v>298</v>
      </c>
      <c r="I128" s="36" t="s">
        <v>755</v>
      </c>
      <c r="J128" s="36" t="s">
        <v>236</v>
      </c>
      <c r="K128" s="36" t="s">
        <v>237</v>
      </c>
      <c r="L128" s="40">
        <v>46192</v>
      </c>
      <c r="M128" s="40">
        <v>46194</v>
      </c>
      <c r="N128" s="41">
        <v>46194</v>
      </c>
      <c r="O128" s="36" t="s">
        <v>248</v>
      </c>
      <c r="P128" s="41" t="s">
        <v>239</v>
      </c>
      <c r="Q128" s="36" t="s">
        <v>240</v>
      </c>
      <c r="R128" s="36" t="s">
        <v>45</v>
      </c>
      <c r="S128" s="36" t="s">
        <v>157</v>
      </c>
      <c r="T128" s="36" t="s">
        <v>756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242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239</v>
      </c>
      <c r="AX128" s="38">
        <v>21640</v>
      </c>
      <c r="AY128" s="45">
        <v>300</v>
      </c>
      <c r="AZ128" s="46" t="s">
        <v>243</v>
      </c>
      <c r="BA128" s="47"/>
      <c r="BB128" s="36"/>
      <c r="BC128" s="36"/>
      <c r="BD128" s="36">
        <v>1</v>
      </c>
      <c r="BE128" s="36">
        <v>3</v>
      </c>
      <c r="BF128" s="36" t="s">
        <v>244</v>
      </c>
      <c r="BG128" s="36" t="s">
        <v>112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757</v>
      </c>
      <c r="B129" s="36" t="s">
        <v>758</v>
      </c>
      <c r="C129" s="36" t="s">
        <v>759</v>
      </c>
      <c r="D129" s="38">
        <v>5731.8</v>
      </c>
      <c r="E129" s="38">
        <v>6990</v>
      </c>
      <c r="F129" s="39">
        <v>2605</v>
      </c>
      <c r="G129" s="36" t="s">
        <v>118</v>
      </c>
      <c r="H129" s="36" t="s">
        <v>298</v>
      </c>
      <c r="I129" s="36" t="s">
        <v>760</v>
      </c>
      <c r="J129" s="36" t="s">
        <v>236</v>
      </c>
      <c r="K129" s="36" t="s">
        <v>237</v>
      </c>
      <c r="L129" s="40">
        <v>46166</v>
      </c>
      <c r="M129" s="40">
        <v>46167</v>
      </c>
      <c r="N129" s="41">
        <v>46167</v>
      </c>
      <c r="O129" s="36" t="s">
        <v>248</v>
      </c>
      <c r="P129" s="41" t="s">
        <v>239</v>
      </c>
      <c r="Q129" s="36" t="s">
        <v>240</v>
      </c>
      <c r="R129" s="36" t="s">
        <v>45</v>
      </c>
      <c r="S129" s="36" t="s">
        <v>157</v>
      </c>
      <c r="T129" s="36" t="s">
        <v>761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239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242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239</v>
      </c>
      <c r="AX129" s="38">
        <v>1397.3999999999996</v>
      </c>
      <c r="AY129" s="45">
        <v>300</v>
      </c>
      <c r="AZ129" s="46" t="s">
        <v>243</v>
      </c>
      <c r="BA129" s="47"/>
      <c r="BB129" s="36"/>
      <c r="BC129" s="36"/>
      <c r="BD129" s="36">
        <v>1</v>
      </c>
      <c r="BE129" s="36">
        <v>14</v>
      </c>
      <c r="BF129" s="36" t="s">
        <v>244</v>
      </c>
      <c r="BG129" s="36" t="s">
        <v>112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762</v>
      </c>
      <c r="B130" s="36" t="s">
        <v>763</v>
      </c>
      <c r="C130" s="36" t="s">
        <v>764</v>
      </c>
      <c r="D130" s="38">
        <v>5731.8</v>
      </c>
      <c r="E130" s="38">
        <v>6990</v>
      </c>
      <c r="F130" s="39">
        <v>2605</v>
      </c>
      <c r="G130" s="36" t="s">
        <v>118</v>
      </c>
      <c r="H130" s="36" t="s">
        <v>298</v>
      </c>
      <c r="I130" s="36" t="s">
        <v>765</v>
      </c>
      <c r="J130" s="36" t="s">
        <v>236</v>
      </c>
      <c r="K130" s="36" t="s">
        <v>237</v>
      </c>
      <c r="L130" s="40">
        <v>46168</v>
      </c>
      <c r="M130" s="40">
        <v>46169</v>
      </c>
      <c r="N130" s="41">
        <v>46169</v>
      </c>
      <c r="O130" s="36" t="s">
        <v>256</v>
      </c>
      <c r="P130" s="41" t="s">
        <v>257</v>
      </c>
      <c r="Q130" s="36" t="s">
        <v>258</v>
      </c>
      <c r="R130" s="36" t="s">
        <v>45</v>
      </c>
      <c r="S130" s="36" t="s">
        <v>157</v>
      </c>
      <c r="T130" s="36" t="s">
        <v>761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239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242</v>
      </c>
      <c r="AI130" s="38" t="s">
        <v>242</v>
      </c>
      <c r="AJ130" s="38" t="s">
        <v>242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239</v>
      </c>
      <c r="AX130" s="38">
        <v>0</v>
      </c>
      <c r="AY130" s="45">
        <v>4220</v>
      </c>
      <c r="AZ130" s="46" t="s">
        <v>243</v>
      </c>
      <c r="BA130" s="47"/>
      <c r="BB130" s="36"/>
      <c r="BC130" s="36"/>
      <c r="BD130" s="36">
        <v>2</v>
      </c>
      <c r="BE130" s="36">
        <v>2</v>
      </c>
      <c r="BF130" s="36" t="s">
        <v>244</v>
      </c>
      <c r="BG130" s="36" t="s">
        <v>112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766</v>
      </c>
      <c r="B131" s="36" t="s">
        <v>767</v>
      </c>
      <c r="C131" s="36" t="s">
        <v>768</v>
      </c>
      <c r="D131" s="38">
        <v>5731.8</v>
      </c>
      <c r="E131" s="38">
        <v>6990</v>
      </c>
      <c r="F131" s="39">
        <v>2605</v>
      </c>
      <c r="G131" s="36" t="s">
        <v>118</v>
      </c>
      <c r="H131" s="36" t="s">
        <v>298</v>
      </c>
      <c r="I131" s="36" t="s">
        <v>769</v>
      </c>
      <c r="J131" s="36" t="s">
        <v>236</v>
      </c>
      <c r="K131" s="36" t="s">
        <v>237</v>
      </c>
      <c r="L131" s="40">
        <v>46169</v>
      </c>
      <c r="M131" s="40">
        <v>46170</v>
      </c>
      <c r="N131" s="41">
        <v>46170</v>
      </c>
      <c r="O131" s="36" t="s">
        <v>417</v>
      </c>
      <c r="P131" s="41" t="s">
        <v>239</v>
      </c>
      <c r="Q131" s="36" t="s">
        <v>240</v>
      </c>
      <c r="R131" s="36" t="s">
        <v>45</v>
      </c>
      <c r="S131" s="36" t="s">
        <v>157</v>
      </c>
      <c r="T131" s="36" t="s">
        <v>761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239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242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239</v>
      </c>
      <c r="AX131" s="38">
        <v>1397.3999999999996</v>
      </c>
      <c r="AY131" s="45">
        <v>300</v>
      </c>
      <c r="AZ131" s="46" t="s">
        <v>243</v>
      </c>
      <c r="BA131" s="47"/>
      <c r="BB131" s="36"/>
      <c r="BC131" s="36"/>
      <c r="BD131" s="36">
        <v>6</v>
      </c>
      <c r="BE131" s="36">
        <v>6</v>
      </c>
      <c r="BF131" s="36" t="s">
        <v>244</v>
      </c>
      <c r="BG131" s="36" t="s">
        <v>112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770</v>
      </c>
      <c r="B132" s="36" t="s">
        <v>771</v>
      </c>
      <c r="C132" s="36" t="s">
        <v>772</v>
      </c>
      <c r="D132" s="38">
        <v>5731.8</v>
      </c>
      <c r="E132" s="38">
        <v>6990</v>
      </c>
      <c r="F132" s="39">
        <v>2605</v>
      </c>
      <c r="G132" s="36" t="s">
        <v>118</v>
      </c>
      <c r="H132" s="36" t="s">
        <v>298</v>
      </c>
      <c r="I132" s="36" t="s">
        <v>773</v>
      </c>
      <c r="J132" s="36" t="s">
        <v>236</v>
      </c>
      <c r="K132" s="36" t="s">
        <v>237</v>
      </c>
      <c r="L132" s="40">
        <v>46166</v>
      </c>
      <c r="M132" s="40">
        <v>46167</v>
      </c>
      <c r="N132" s="41">
        <v>46167</v>
      </c>
      <c r="O132" s="36" t="s">
        <v>238</v>
      </c>
      <c r="P132" s="41" t="s">
        <v>239</v>
      </c>
      <c r="Q132" s="36" t="s">
        <v>240</v>
      </c>
      <c r="R132" s="36" t="s">
        <v>45</v>
      </c>
      <c r="S132" s="36" t="s">
        <v>157</v>
      </c>
      <c r="T132" s="36" t="s">
        <v>761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239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242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239</v>
      </c>
      <c r="AX132" s="38">
        <v>0</v>
      </c>
      <c r="AY132" s="45">
        <v>300</v>
      </c>
      <c r="AZ132" s="46" t="s">
        <v>243</v>
      </c>
      <c r="BA132" s="47"/>
      <c r="BB132" s="36"/>
      <c r="BC132" s="36"/>
      <c r="BD132" s="36">
        <v>8</v>
      </c>
      <c r="BE132" s="36">
        <v>14</v>
      </c>
      <c r="BF132" s="36" t="s">
        <v>244</v>
      </c>
      <c r="BG132" s="36" t="s">
        <v>112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774</v>
      </c>
      <c r="B133" s="36" t="s">
        <v>775</v>
      </c>
      <c r="C133" s="36" t="s">
        <v>776</v>
      </c>
      <c r="D133" s="38">
        <v>5731.8</v>
      </c>
      <c r="E133" s="38">
        <v>6990</v>
      </c>
      <c r="F133" s="39">
        <v>2605</v>
      </c>
      <c r="G133" s="36" t="s">
        <v>118</v>
      </c>
      <c r="H133" s="36" t="s">
        <v>298</v>
      </c>
      <c r="I133" s="36" t="s">
        <v>777</v>
      </c>
      <c r="J133" s="36" t="s">
        <v>236</v>
      </c>
      <c r="K133" s="36" t="s">
        <v>237</v>
      </c>
      <c r="L133" s="40">
        <v>46168</v>
      </c>
      <c r="M133" s="40">
        <v>46169</v>
      </c>
      <c r="N133" s="41">
        <v>46169</v>
      </c>
      <c r="O133" s="36" t="s">
        <v>256</v>
      </c>
      <c r="P133" s="41" t="s">
        <v>257</v>
      </c>
      <c r="Q133" s="36" t="s">
        <v>258</v>
      </c>
      <c r="R133" s="36" t="s">
        <v>45</v>
      </c>
      <c r="S133" s="36" t="s">
        <v>157</v>
      </c>
      <c r="T133" s="36" t="s">
        <v>761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239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242</v>
      </c>
      <c r="AI133" s="38" t="s">
        <v>242</v>
      </c>
      <c r="AJ133" s="38" t="s">
        <v>242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239</v>
      </c>
      <c r="AX133" s="38">
        <v>0</v>
      </c>
      <c r="AY133" s="45">
        <v>4220</v>
      </c>
      <c r="AZ133" s="46" t="s">
        <v>243</v>
      </c>
      <c r="BA133" s="47"/>
      <c r="BB133" s="36"/>
      <c r="BC133" s="36"/>
      <c r="BD133" s="36">
        <v>1</v>
      </c>
      <c r="BE133" s="36">
        <v>12</v>
      </c>
      <c r="BF133" s="36" t="s">
        <v>244</v>
      </c>
      <c r="BG133" s="36" t="s">
        <v>112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778</v>
      </c>
      <c r="B134" s="36" t="s">
        <v>779</v>
      </c>
      <c r="C134" s="36" t="s">
        <v>780</v>
      </c>
      <c r="D134" s="38">
        <v>5731.8</v>
      </c>
      <c r="E134" s="38">
        <v>6990</v>
      </c>
      <c r="F134" s="39">
        <v>2605</v>
      </c>
      <c r="G134" s="36" t="s">
        <v>118</v>
      </c>
      <c r="H134" s="36" t="s">
        <v>298</v>
      </c>
      <c r="I134" s="36" t="s">
        <v>781</v>
      </c>
      <c r="J134" s="36" t="s">
        <v>236</v>
      </c>
      <c r="K134" s="36" t="s">
        <v>237</v>
      </c>
      <c r="L134" s="40">
        <v>46167</v>
      </c>
      <c r="M134" s="40">
        <v>46168</v>
      </c>
      <c r="N134" s="41">
        <v>46168</v>
      </c>
      <c r="O134" s="36" t="s">
        <v>782</v>
      </c>
      <c r="P134" s="41" t="s">
        <v>239</v>
      </c>
      <c r="Q134" s="36" t="s">
        <v>240</v>
      </c>
      <c r="R134" s="36" t="s">
        <v>45</v>
      </c>
      <c r="S134" s="36" t="s">
        <v>157</v>
      </c>
      <c r="T134" s="36" t="s">
        <v>761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239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239</v>
      </c>
      <c r="AX134" s="38">
        <v>0</v>
      </c>
      <c r="AY134" s="45">
        <v>0</v>
      </c>
      <c r="AZ134" s="46" t="s">
        <v>243</v>
      </c>
      <c r="BA134" s="47"/>
      <c r="BB134" s="36"/>
      <c r="BC134" s="36"/>
      <c r="BD134" s="36">
        <v>3</v>
      </c>
      <c r="BE134" s="36">
        <v>13</v>
      </c>
      <c r="BF134" s="36" t="s">
        <v>244</v>
      </c>
      <c r="BG134" s="36" t="s">
        <v>112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783</v>
      </c>
      <c r="B135" s="36" t="s">
        <v>784</v>
      </c>
      <c r="C135" s="36" t="s">
        <v>785</v>
      </c>
      <c r="D135" s="38">
        <v>5731.8</v>
      </c>
      <c r="E135" s="38">
        <v>6990</v>
      </c>
      <c r="F135" s="39">
        <v>2605</v>
      </c>
      <c r="G135" s="36" t="s">
        <v>118</v>
      </c>
      <c r="H135" s="36" t="s">
        <v>298</v>
      </c>
      <c r="I135" s="36" t="s">
        <v>786</v>
      </c>
      <c r="J135" s="36" t="s">
        <v>236</v>
      </c>
      <c r="K135" s="36" t="s">
        <v>237</v>
      </c>
      <c r="L135" s="40">
        <v>46169</v>
      </c>
      <c r="M135" s="40">
        <v>46170</v>
      </c>
      <c r="N135" s="41">
        <v>46170</v>
      </c>
      <c r="O135" s="36" t="s">
        <v>248</v>
      </c>
      <c r="P135" s="41" t="s">
        <v>239</v>
      </c>
      <c r="Q135" s="36" t="s">
        <v>240</v>
      </c>
      <c r="R135" s="36" t="s">
        <v>45</v>
      </c>
      <c r="S135" s="36" t="s">
        <v>157</v>
      </c>
      <c r="T135" s="36" t="s">
        <v>761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239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242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239</v>
      </c>
      <c r="AX135" s="38">
        <v>0</v>
      </c>
      <c r="AY135" s="45">
        <v>300</v>
      </c>
      <c r="AZ135" s="46" t="s">
        <v>243</v>
      </c>
      <c r="BA135" s="47"/>
      <c r="BB135" s="36"/>
      <c r="BC135" s="36"/>
      <c r="BD135" s="36">
        <v>1</v>
      </c>
      <c r="BE135" s="36">
        <v>8</v>
      </c>
      <c r="BF135" s="36" t="s">
        <v>244</v>
      </c>
      <c r="BG135" s="36" t="s">
        <v>112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787</v>
      </c>
      <c r="B136" s="36" t="s">
        <v>788</v>
      </c>
      <c r="C136" s="36" t="s">
        <v>789</v>
      </c>
      <c r="D136" s="38">
        <v>4324.68</v>
      </c>
      <c r="E136" s="38">
        <v>5274</v>
      </c>
      <c r="F136" s="39">
        <v>2605</v>
      </c>
      <c r="G136" s="36" t="s">
        <v>118</v>
      </c>
      <c r="H136" s="36" t="s">
        <v>298</v>
      </c>
      <c r="I136" s="36" t="s">
        <v>790</v>
      </c>
      <c r="J136" s="36" t="s">
        <v>236</v>
      </c>
      <c r="K136" s="36" t="s">
        <v>237</v>
      </c>
      <c r="L136" s="40">
        <v>46167</v>
      </c>
      <c r="M136" s="40">
        <v>46168</v>
      </c>
      <c r="N136" s="41">
        <v>46168</v>
      </c>
      <c r="O136" s="36" t="s">
        <v>238</v>
      </c>
      <c r="P136" s="41" t="s">
        <v>239</v>
      </c>
      <c r="Q136" s="36" t="s">
        <v>240</v>
      </c>
      <c r="R136" s="36" t="s">
        <v>45</v>
      </c>
      <c r="S136" s="36" t="s">
        <v>157</v>
      </c>
      <c r="T136" s="36" t="s">
        <v>761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239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242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239</v>
      </c>
      <c r="AX136" s="38">
        <v>0</v>
      </c>
      <c r="AY136" s="45">
        <v>300</v>
      </c>
      <c r="AZ136" s="46" t="s">
        <v>243</v>
      </c>
      <c r="BA136" s="47"/>
      <c r="BB136" s="36"/>
      <c r="BC136" s="36"/>
      <c r="BD136" s="36">
        <v>2</v>
      </c>
      <c r="BE136" s="36">
        <v>3</v>
      </c>
      <c r="BF136" s="36" t="s">
        <v>244</v>
      </c>
      <c r="BG136" s="36" t="s">
        <v>112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791</v>
      </c>
      <c r="B137" s="36" t="s">
        <v>792</v>
      </c>
      <c r="C137" s="36" t="s">
        <v>793</v>
      </c>
      <c r="D137" s="38">
        <v>17744.8</v>
      </c>
      <c r="E137" s="38">
        <v>21640</v>
      </c>
      <c r="F137" s="39">
        <v>2605</v>
      </c>
      <c r="G137" s="36" t="s">
        <v>118</v>
      </c>
      <c r="H137" s="36" t="s">
        <v>298</v>
      </c>
      <c r="I137" s="36" t="s">
        <v>794</v>
      </c>
      <c r="J137" s="36" t="s">
        <v>236</v>
      </c>
      <c r="K137" s="36" t="s">
        <v>237</v>
      </c>
      <c r="L137" s="40">
        <v>46170</v>
      </c>
      <c r="M137" s="40">
        <v>46170</v>
      </c>
      <c r="N137" s="41">
        <v>46170</v>
      </c>
      <c r="O137" s="36" t="s">
        <v>256</v>
      </c>
      <c r="P137" s="41" t="s">
        <v>257</v>
      </c>
      <c r="Q137" s="36" t="s">
        <v>258</v>
      </c>
      <c r="R137" s="36" t="s">
        <v>45</v>
      </c>
      <c r="S137" s="36" t="s">
        <v>157</v>
      </c>
      <c r="T137" s="36" t="s">
        <v>761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239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242</v>
      </c>
      <c r="AI137" s="38" t="s">
        <v>242</v>
      </c>
      <c r="AJ137" s="38" t="s">
        <v>242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239</v>
      </c>
      <c r="AX137" s="38">
        <v>0</v>
      </c>
      <c r="AY137" s="45">
        <v>10600</v>
      </c>
      <c r="AZ137" s="46" t="s">
        <v>243</v>
      </c>
      <c r="BA137" s="47"/>
      <c r="BB137" s="36"/>
      <c r="BC137" s="36"/>
      <c r="BD137" s="36">
        <v>1</v>
      </c>
      <c r="BE137" s="36">
        <v>11</v>
      </c>
      <c r="BF137" s="36" t="s">
        <v>244</v>
      </c>
      <c r="BG137" s="36" t="s">
        <v>112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795</v>
      </c>
      <c r="B138" s="36" t="s">
        <v>796</v>
      </c>
      <c r="C138" s="36" t="s">
        <v>797</v>
      </c>
      <c r="D138" s="38">
        <v>23808.7</v>
      </c>
      <c r="E138" s="38">
        <v>29035</v>
      </c>
      <c r="F138" s="39">
        <v>2605</v>
      </c>
      <c r="G138" s="36" t="s">
        <v>118</v>
      </c>
      <c r="H138" s="36" t="s">
        <v>727</v>
      </c>
      <c r="I138" s="36" t="s">
        <v>798</v>
      </c>
      <c r="J138" s="36" t="s">
        <v>236</v>
      </c>
      <c r="K138" s="36" t="s">
        <v>237</v>
      </c>
      <c r="L138" s="40">
        <v>46177</v>
      </c>
      <c r="M138" s="40">
        <v>46181</v>
      </c>
      <c r="N138" s="41">
        <v>46181</v>
      </c>
      <c r="O138" s="36" t="s">
        <v>256</v>
      </c>
      <c r="P138" s="41" t="s">
        <v>257</v>
      </c>
      <c r="Q138" s="36" t="s">
        <v>258</v>
      </c>
      <c r="R138" s="36" t="s">
        <v>45</v>
      </c>
      <c r="S138" s="36" t="s">
        <v>157</v>
      </c>
      <c r="T138" s="36" t="s">
        <v>799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239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242</v>
      </c>
      <c r="AI138" s="38" t="s">
        <v>242</v>
      </c>
      <c r="AJ138" s="38" t="s">
        <v>242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239</v>
      </c>
      <c r="AX138" s="38">
        <v>7234.5</v>
      </c>
      <c r="AY138" s="45">
        <v>11800</v>
      </c>
      <c r="AZ138" s="46" t="s">
        <v>243</v>
      </c>
      <c r="BA138" s="47"/>
      <c r="BB138" s="36"/>
      <c r="BC138" s="36"/>
      <c r="BD138" s="36">
        <v>2</v>
      </c>
      <c r="BE138" s="36">
        <v>3</v>
      </c>
      <c r="BF138" s="36" t="s">
        <v>244</v>
      </c>
      <c r="BG138" s="36" t="s">
        <v>112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800</v>
      </c>
      <c r="B139" s="36" t="s">
        <v>801</v>
      </c>
      <c r="C139" s="36" t="s">
        <v>155</v>
      </c>
      <c r="D139" s="38">
        <v>15311.039999999999</v>
      </c>
      <c r="E139" s="38">
        <v>18672</v>
      </c>
      <c r="F139" s="39">
        <v>2605</v>
      </c>
      <c r="G139" s="36" t="s">
        <v>118</v>
      </c>
      <c r="H139" s="36" t="s">
        <v>727</v>
      </c>
      <c r="I139" s="36" t="s">
        <v>802</v>
      </c>
      <c r="J139" s="36" t="s">
        <v>236</v>
      </c>
      <c r="K139" s="36" t="s">
        <v>237</v>
      </c>
      <c r="L139" s="40">
        <v>46200</v>
      </c>
      <c r="M139" s="40">
        <v>46200</v>
      </c>
      <c r="N139" s="41">
        <v>46200</v>
      </c>
      <c r="O139" s="36" t="s">
        <v>256</v>
      </c>
      <c r="P139" s="41" t="s">
        <v>257</v>
      </c>
      <c r="Q139" s="36" t="s">
        <v>258</v>
      </c>
      <c r="R139" s="36" t="s">
        <v>45</v>
      </c>
      <c r="S139" s="36" t="s">
        <v>157</v>
      </c>
      <c r="T139" s="36" t="s">
        <v>1041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242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239</v>
      </c>
      <c r="AX139" s="38">
        <v>22904</v>
      </c>
      <c r="AY139" s="45">
        <v>8610</v>
      </c>
      <c r="AZ139" s="46" t="s">
        <v>243</v>
      </c>
      <c r="BA139" s="47"/>
      <c r="BB139" s="36"/>
      <c r="BC139" s="36"/>
      <c r="BD139" s="36">
        <v>5</v>
      </c>
      <c r="BE139" s="36">
        <v>6</v>
      </c>
      <c r="BF139" s="36" t="s">
        <v>244</v>
      </c>
      <c r="BG139" s="36" t="s">
        <v>112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804</v>
      </c>
      <c r="B140" s="36" t="s">
        <v>805</v>
      </c>
      <c r="C140" s="36" t="s">
        <v>806</v>
      </c>
      <c r="D140" s="38">
        <v>13454.559999999998</v>
      </c>
      <c r="E140" s="38">
        <v>16408</v>
      </c>
      <c r="F140" s="39">
        <v>2605</v>
      </c>
      <c r="G140" s="36" t="s">
        <v>118</v>
      </c>
      <c r="H140" s="36" t="s">
        <v>727</v>
      </c>
      <c r="I140" s="36" t="s">
        <v>807</v>
      </c>
      <c r="J140" s="36" t="s">
        <v>236</v>
      </c>
      <c r="K140" s="36" t="s">
        <v>237</v>
      </c>
      <c r="L140" s="40">
        <v>46175</v>
      </c>
      <c r="M140" s="40">
        <v>46175</v>
      </c>
      <c r="N140" s="41">
        <v>46175</v>
      </c>
      <c r="O140" s="36" t="s">
        <v>417</v>
      </c>
      <c r="P140" s="41" t="s">
        <v>239</v>
      </c>
      <c r="Q140" s="36" t="s">
        <v>240</v>
      </c>
      <c r="R140" s="36" t="s">
        <v>45</v>
      </c>
      <c r="S140" s="36" t="s">
        <v>157</v>
      </c>
      <c r="T140" s="36" t="s">
        <v>808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242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239</v>
      </c>
      <c r="AX140" s="38">
        <v>0</v>
      </c>
      <c r="AY140" s="45">
        <v>300</v>
      </c>
      <c r="AZ140" s="46" t="s">
        <v>243</v>
      </c>
      <c r="BA140" s="47"/>
      <c r="BB140" s="36"/>
      <c r="BC140" s="36"/>
      <c r="BD140" s="36">
        <v>5</v>
      </c>
      <c r="BE140" s="36">
        <v>6</v>
      </c>
      <c r="BF140" s="36" t="s">
        <v>244</v>
      </c>
      <c r="BG140" s="36" t="s">
        <v>112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809</v>
      </c>
      <c r="B141" s="36" t="s">
        <v>810</v>
      </c>
      <c r="C141" s="36" t="s">
        <v>811</v>
      </c>
      <c r="D141" s="38">
        <v>16854.28</v>
      </c>
      <c r="E141" s="38">
        <v>20554</v>
      </c>
      <c r="F141" s="39">
        <v>2605</v>
      </c>
      <c r="G141" s="36" t="s">
        <v>118</v>
      </c>
      <c r="H141" s="36" t="s">
        <v>727</v>
      </c>
      <c r="I141" s="36" t="s">
        <v>812</v>
      </c>
      <c r="J141" s="36" t="s">
        <v>236</v>
      </c>
      <c r="K141" s="36" t="s">
        <v>237</v>
      </c>
      <c r="L141" s="40">
        <v>46206</v>
      </c>
      <c r="M141" s="40">
        <v>46208</v>
      </c>
      <c r="N141" s="41">
        <v>46208</v>
      </c>
      <c r="O141" s="36" t="s">
        <v>256</v>
      </c>
      <c r="P141" s="41" t="s">
        <v>257</v>
      </c>
      <c r="Q141" s="36" t="s">
        <v>258</v>
      </c>
      <c r="R141" s="36" t="s">
        <v>45</v>
      </c>
      <c r="S141" s="36" t="s">
        <v>157</v>
      </c>
      <c r="T141" s="36" t="s">
        <v>1310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242</v>
      </c>
      <c r="AI141" s="38" t="s">
        <v>242</v>
      </c>
      <c r="AJ141" s="38" t="s">
        <v>242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/>
      <c r="AW141" s="44" t="s">
        <v>239</v>
      </c>
      <c r="AX141" s="38">
        <v>20554</v>
      </c>
      <c r="AY141" s="45">
        <v>8860</v>
      </c>
      <c r="AZ141" s="46" t="s">
        <v>243</v>
      </c>
      <c r="BA141" s="47"/>
      <c r="BB141" s="36"/>
      <c r="BC141" s="36"/>
      <c r="BD141" s="36">
        <v>1</v>
      </c>
      <c r="BE141" s="36">
        <v>0</v>
      </c>
      <c r="BF141" s="36" t="s">
        <v>244</v>
      </c>
      <c r="BG141" s="36" t="s">
        <v>112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813</v>
      </c>
      <c r="B142" s="36" t="s">
        <v>814</v>
      </c>
      <c r="C142" s="36" t="s">
        <v>815</v>
      </c>
      <c r="D142" s="38">
        <v>19037.939999999999</v>
      </c>
      <c r="E142" s="38">
        <v>23217</v>
      </c>
      <c r="F142" s="39">
        <v>2605</v>
      </c>
      <c r="G142" s="36" t="s">
        <v>118</v>
      </c>
      <c r="H142" s="36" t="s">
        <v>727</v>
      </c>
      <c r="I142" s="36" t="s">
        <v>816</v>
      </c>
      <c r="J142" s="36" t="s">
        <v>236</v>
      </c>
      <c r="K142" s="36" t="s">
        <v>237</v>
      </c>
      <c r="L142" s="40">
        <v>46211</v>
      </c>
      <c r="M142" s="40">
        <v>46213</v>
      </c>
      <c r="N142" s="41">
        <v>46213</v>
      </c>
      <c r="O142" s="36" t="s">
        <v>256</v>
      </c>
      <c r="P142" s="41" t="s">
        <v>257</v>
      </c>
      <c r="Q142" s="36" t="s">
        <v>240</v>
      </c>
      <c r="R142" s="36" t="s">
        <v>45</v>
      </c>
      <c r="S142" s="36" t="s">
        <v>160</v>
      </c>
      <c r="T142" s="36" t="s">
        <v>1376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/>
      <c r="AW142" s="44" t="s">
        <v>239</v>
      </c>
      <c r="AX142" s="38">
        <v>0</v>
      </c>
      <c r="AY142" s="45">
        <v>0</v>
      </c>
      <c r="AZ142" s="46" t="s">
        <v>243</v>
      </c>
      <c r="BA142" s="47"/>
      <c r="BB142" s="36"/>
      <c r="BC142" s="36"/>
      <c r="BD142" s="36">
        <v>3</v>
      </c>
      <c r="BE142" s="36"/>
      <c r="BF142" s="36" t="s">
        <v>244</v>
      </c>
      <c r="BG142" s="36" t="s">
        <v>112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817</v>
      </c>
      <c r="B143" s="36" t="s">
        <v>818</v>
      </c>
      <c r="C143" s="36" t="s">
        <v>819</v>
      </c>
      <c r="D143" s="38">
        <v>16823.12</v>
      </c>
      <c r="E143" s="38">
        <v>20516</v>
      </c>
      <c r="F143" s="39">
        <v>2605</v>
      </c>
      <c r="G143" s="36" t="s">
        <v>118</v>
      </c>
      <c r="H143" s="36" t="s">
        <v>727</v>
      </c>
      <c r="I143" s="36" t="s">
        <v>820</v>
      </c>
      <c r="J143" s="36" t="s">
        <v>236</v>
      </c>
      <c r="K143" s="36" t="s">
        <v>237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243</v>
      </c>
      <c r="BA143" s="47"/>
      <c r="BB143" s="36"/>
      <c r="BC143" s="36"/>
      <c r="BD143" s="36">
        <v>0</v>
      </c>
      <c r="BE143" s="36">
        <v>0</v>
      </c>
      <c r="BF143" s="36" t="s">
        <v>803</v>
      </c>
      <c r="BG143" s="36" t="s">
        <v>112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821</v>
      </c>
      <c r="B144" s="36" t="s">
        <v>822</v>
      </c>
      <c r="C144" s="36" t="s">
        <v>823</v>
      </c>
      <c r="D144" s="38">
        <v>17340.54</v>
      </c>
      <c r="E144" s="38">
        <v>21147</v>
      </c>
      <c r="F144" s="39">
        <v>2605</v>
      </c>
      <c r="G144" s="36" t="s">
        <v>118</v>
      </c>
      <c r="H144" s="36" t="s">
        <v>727</v>
      </c>
      <c r="I144" s="36" t="s">
        <v>824</v>
      </c>
      <c r="J144" s="36" t="s">
        <v>236</v>
      </c>
      <c r="K144" s="36" t="s">
        <v>237</v>
      </c>
      <c r="L144" s="40">
        <v>46185</v>
      </c>
      <c r="M144" s="40">
        <v>46185</v>
      </c>
      <c r="N144" s="41">
        <v>46185</v>
      </c>
      <c r="O144" s="36" t="s">
        <v>256</v>
      </c>
      <c r="P144" s="41" t="s">
        <v>257</v>
      </c>
      <c r="Q144" s="36" t="s">
        <v>258</v>
      </c>
      <c r="R144" s="36" t="s">
        <v>45</v>
      </c>
      <c r="S144" s="36" t="s">
        <v>157</v>
      </c>
      <c r="T144" s="36" t="s">
        <v>799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242</v>
      </c>
      <c r="AI144" s="38" t="s">
        <v>242</v>
      </c>
      <c r="AJ144" s="38" t="s">
        <v>242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239</v>
      </c>
      <c r="AX144" s="38">
        <v>4868.0999999999985</v>
      </c>
      <c r="AY144" s="45">
        <v>8760</v>
      </c>
      <c r="AZ144" s="46" t="s">
        <v>243</v>
      </c>
      <c r="BA144" s="47"/>
      <c r="BB144" s="36"/>
      <c r="BC144" s="36"/>
      <c r="BD144" s="36">
        <v>1</v>
      </c>
      <c r="BE144" s="36">
        <v>4</v>
      </c>
      <c r="BF144" s="36" t="s">
        <v>244</v>
      </c>
      <c r="BG144" s="36" t="s">
        <v>112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825</v>
      </c>
      <c r="B145" s="36" t="s">
        <v>826</v>
      </c>
      <c r="C145" s="36" t="s">
        <v>827</v>
      </c>
      <c r="D145" s="38">
        <v>17485.679999999997</v>
      </c>
      <c r="E145" s="38">
        <v>21324</v>
      </c>
      <c r="F145" s="39">
        <v>2605</v>
      </c>
      <c r="G145" s="36" t="s">
        <v>118</v>
      </c>
      <c r="H145" s="36" t="s">
        <v>727</v>
      </c>
      <c r="I145" s="36" t="s">
        <v>828</v>
      </c>
      <c r="J145" s="36" t="s">
        <v>236</v>
      </c>
      <c r="K145" s="36" t="s">
        <v>237</v>
      </c>
      <c r="L145" s="40">
        <v>46176</v>
      </c>
      <c r="M145" s="40">
        <v>46177</v>
      </c>
      <c r="N145" s="41">
        <v>46177</v>
      </c>
      <c r="O145" s="36" t="s">
        <v>417</v>
      </c>
      <c r="P145" s="41" t="s">
        <v>239</v>
      </c>
      <c r="Q145" s="36" t="s">
        <v>240</v>
      </c>
      <c r="R145" s="36" t="s">
        <v>45</v>
      </c>
      <c r="S145" s="36" t="s">
        <v>157</v>
      </c>
      <c r="T145" s="36" t="s">
        <v>808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242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239</v>
      </c>
      <c r="AX145" s="38">
        <v>0</v>
      </c>
      <c r="AY145" s="45">
        <v>300</v>
      </c>
      <c r="AZ145" s="46" t="s">
        <v>243</v>
      </c>
      <c r="BA145" s="47"/>
      <c r="BB145" s="36"/>
      <c r="BC145" s="36"/>
      <c r="BD145" s="36">
        <v>4</v>
      </c>
      <c r="BE145" s="36">
        <v>6</v>
      </c>
      <c r="BF145" s="36" t="s">
        <v>244</v>
      </c>
      <c r="BG145" s="36" t="s">
        <v>112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829</v>
      </c>
      <c r="B146" s="36" t="s">
        <v>830</v>
      </c>
      <c r="C146" s="36" t="s">
        <v>831</v>
      </c>
      <c r="D146" s="38">
        <v>10310.68</v>
      </c>
      <c r="E146" s="38">
        <v>12574</v>
      </c>
      <c r="F146" s="39">
        <v>2605</v>
      </c>
      <c r="G146" s="36" t="s">
        <v>118</v>
      </c>
      <c r="H146" s="36" t="s">
        <v>727</v>
      </c>
      <c r="I146" s="36" t="s">
        <v>832</v>
      </c>
      <c r="J146" s="36" t="s">
        <v>236</v>
      </c>
      <c r="K146" s="36" t="s">
        <v>237</v>
      </c>
      <c r="L146" s="40">
        <v>46185</v>
      </c>
      <c r="M146" s="40">
        <v>46185</v>
      </c>
      <c r="N146" s="41">
        <v>46185</v>
      </c>
      <c r="O146" s="36" t="s">
        <v>248</v>
      </c>
      <c r="P146" s="41" t="s">
        <v>239</v>
      </c>
      <c r="Q146" s="36" t="s">
        <v>240</v>
      </c>
      <c r="R146" s="36" t="s">
        <v>48</v>
      </c>
      <c r="S146" s="36" t="s">
        <v>157</v>
      </c>
      <c r="T146" s="36" t="s">
        <v>799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242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239</v>
      </c>
      <c r="AX146" s="38">
        <v>3072.5999999999985</v>
      </c>
      <c r="AY146" s="45">
        <v>300</v>
      </c>
      <c r="AZ146" s="46" t="s">
        <v>243</v>
      </c>
      <c r="BA146" s="47"/>
      <c r="BB146" s="36"/>
      <c r="BC146" s="36"/>
      <c r="BD146" s="36">
        <v>0</v>
      </c>
      <c r="BE146" s="36">
        <v>4</v>
      </c>
      <c r="BF146" s="36" t="s">
        <v>244</v>
      </c>
      <c r="BG146" s="36" t="s">
        <v>112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833</v>
      </c>
      <c r="B147" s="36" t="s">
        <v>834</v>
      </c>
      <c r="C147" s="36" t="s">
        <v>835</v>
      </c>
      <c r="D147" s="38">
        <v>10722.32</v>
      </c>
      <c r="E147" s="38">
        <v>13076</v>
      </c>
      <c r="F147" s="39">
        <v>2605</v>
      </c>
      <c r="G147" s="36" t="s">
        <v>118</v>
      </c>
      <c r="H147" s="36" t="s">
        <v>727</v>
      </c>
      <c r="I147" s="36" t="s">
        <v>836</v>
      </c>
      <c r="J147" s="36" t="s">
        <v>236</v>
      </c>
      <c r="K147" s="36" t="s">
        <v>237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243</v>
      </c>
      <c r="BA147" s="47"/>
      <c r="BB147" s="36"/>
      <c r="BC147" s="36"/>
      <c r="BD147" s="36">
        <v>0</v>
      </c>
      <c r="BE147" s="36">
        <v>0</v>
      </c>
      <c r="BF147" s="36" t="s">
        <v>803</v>
      </c>
      <c r="BG147" s="36" t="s">
        <v>112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837</v>
      </c>
      <c r="B148" s="36" t="s">
        <v>838</v>
      </c>
      <c r="C148" s="36" t="s">
        <v>839</v>
      </c>
      <c r="D148" s="38">
        <v>22701.7</v>
      </c>
      <c r="E148" s="38">
        <v>27685</v>
      </c>
      <c r="F148" s="39">
        <v>2605</v>
      </c>
      <c r="G148" s="36" t="s">
        <v>118</v>
      </c>
      <c r="H148" s="36" t="s">
        <v>727</v>
      </c>
      <c r="I148" s="36" t="s">
        <v>840</v>
      </c>
      <c r="J148" s="36" t="s">
        <v>236</v>
      </c>
      <c r="K148" s="36" t="s">
        <v>237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243</v>
      </c>
      <c r="BA148" s="47"/>
      <c r="BB148" s="36"/>
      <c r="BC148" s="36"/>
      <c r="BD148" s="36">
        <v>0</v>
      </c>
      <c r="BE148" s="36">
        <v>0</v>
      </c>
      <c r="BF148" s="36" t="s">
        <v>803</v>
      </c>
      <c r="BG148" s="36" t="s">
        <v>112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841</v>
      </c>
      <c r="B149" s="36" t="s">
        <v>842</v>
      </c>
      <c r="C149" s="36" t="s">
        <v>843</v>
      </c>
      <c r="D149" s="38">
        <v>14117.119999999999</v>
      </c>
      <c r="E149" s="38">
        <v>17216</v>
      </c>
      <c r="F149" s="39">
        <v>2605</v>
      </c>
      <c r="G149" s="36" t="s">
        <v>118</v>
      </c>
      <c r="H149" s="36" t="s">
        <v>727</v>
      </c>
      <c r="I149" s="36" t="s">
        <v>844</v>
      </c>
      <c r="J149" s="36" t="s">
        <v>236</v>
      </c>
      <c r="K149" s="36" t="s">
        <v>237</v>
      </c>
      <c r="L149" s="40">
        <v>46175</v>
      </c>
      <c r="M149" s="40">
        <v>46176</v>
      </c>
      <c r="N149" s="41">
        <v>46176</v>
      </c>
      <c r="O149" s="36" t="s">
        <v>256</v>
      </c>
      <c r="P149" s="41" t="s">
        <v>257</v>
      </c>
      <c r="Q149" s="36" t="s">
        <v>258</v>
      </c>
      <c r="R149" s="36" t="s">
        <v>45</v>
      </c>
      <c r="S149" s="36" t="s">
        <v>157</v>
      </c>
      <c r="T149" s="36" t="s">
        <v>808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242</v>
      </c>
      <c r="AI149" s="38" t="s">
        <v>242</v>
      </c>
      <c r="AJ149" s="38" t="s">
        <v>242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239</v>
      </c>
      <c r="AX149" s="38">
        <v>0</v>
      </c>
      <c r="AY149" s="45">
        <v>6690</v>
      </c>
      <c r="AZ149" s="46" t="s">
        <v>243</v>
      </c>
      <c r="BA149" s="47"/>
      <c r="BB149" s="36"/>
      <c r="BC149" s="36"/>
      <c r="BD149" s="36">
        <v>5</v>
      </c>
      <c r="BE149" s="36">
        <v>7</v>
      </c>
      <c r="BF149" s="36" t="s">
        <v>244</v>
      </c>
      <c r="BG149" s="36" t="s">
        <v>112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845</v>
      </c>
      <c r="B150" s="36" t="s">
        <v>846</v>
      </c>
      <c r="C150" s="36" t="s">
        <v>847</v>
      </c>
      <c r="D150" s="38">
        <v>15066.68</v>
      </c>
      <c r="E150" s="38">
        <v>18374</v>
      </c>
      <c r="F150" s="39">
        <v>2605</v>
      </c>
      <c r="G150" s="36" t="s">
        <v>118</v>
      </c>
      <c r="H150" s="36" t="s">
        <v>727</v>
      </c>
      <c r="I150" s="36" t="s">
        <v>848</v>
      </c>
      <c r="J150" s="36" t="s">
        <v>236</v>
      </c>
      <c r="K150" s="36" t="s">
        <v>237</v>
      </c>
      <c r="L150" s="40">
        <v>46175</v>
      </c>
      <c r="M150" s="40">
        <v>46176</v>
      </c>
      <c r="N150" s="41">
        <v>46176</v>
      </c>
      <c r="O150" s="36" t="s">
        <v>256</v>
      </c>
      <c r="P150" s="41" t="s">
        <v>257</v>
      </c>
      <c r="Q150" s="36" t="s">
        <v>258</v>
      </c>
      <c r="R150" s="36" t="s">
        <v>45</v>
      </c>
      <c r="S150" s="36" t="s">
        <v>157</v>
      </c>
      <c r="T150" s="36" t="s">
        <v>808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242</v>
      </c>
      <c r="AI150" s="38" t="s">
        <v>242</v>
      </c>
      <c r="AJ150" s="38" t="s">
        <v>242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239</v>
      </c>
      <c r="AX150" s="38">
        <v>17595</v>
      </c>
      <c r="AY150" s="45">
        <v>6378</v>
      </c>
      <c r="AZ150" s="46" t="s">
        <v>243</v>
      </c>
      <c r="BA150" s="47"/>
      <c r="BB150" s="36"/>
      <c r="BC150" s="36"/>
      <c r="BD150" s="36">
        <v>1</v>
      </c>
      <c r="BE150" s="36">
        <v>2</v>
      </c>
      <c r="BF150" s="36" t="s">
        <v>244</v>
      </c>
      <c r="BG150" s="36" t="s">
        <v>112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849</v>
      </c>
      <c r="B151" s="36" t="s">
        <v>850</v>
      </c>
      <c r="C151" s="36" t="s">
        <v>851</v>
      </c>
      <c r="D151" s="38">
        <v>10310.68</v>
      </c>
      <c r="E151" s="38">
        <v>12574</v>
      </c>
      <c r="F151" s="39">
        <v>2605</v>
      </c>
      <c r="G151" s="36" t="s">
        <v>118</v>
      </c>
      <c r="H151" s="36" t="s">
        <v>727</v>
      </c>
      <c r="I151" s="36" t="s">
        <v>852</v>
      </c>
      <c r="J151" s="36" t="s">
        <v>236</v>
      </c>
      <c r="K151" s="36" t="s">
        <v>237</v>
      </c>
      <c r="L151" s="40">
        <v>46176</v>
      </c>
      <c r="M151" s="40">
        <v>46177</v>
      </c>
      <c r="N151" s="41">
        <v>46177</v>
      </c>
      <c r="O151" s="36" t="s">
        <v>782</v>
      </c>
      <c r="P151" s="41" t="s">
        <v>239</v>
      </c>
      <c r="Q151" s="36" t="s">
        <v>240</v>
      </c>
      <c r="R151" s="36" t="s">
        <v>48</v>
      </c>
      <c r="S151" s="36" t="s">
        <v>157</v>
      </c>
      <c r="T151" s="36" t="s">
        <v>808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239</v>
      </c>
      <c r="AX151" s="38">
        <v>3072.5999999999985</v>
      </c>
      <c r="AY151" s="45">
        <v>0</v>
      </c>
      <c r="AZ151" s="46" t="s">
        <v>243</v>
      </c>
      <c r="BA151" s="47"/>
      <c r="BB151" s="36"/>
      <c r="BC151" s="36"/>
      <c r="BD151" s="36">
        <v>4</v>
      </c>
      <c r="BE151" s="36">
        <v>6</v>
      </c>
      <c r="BF151" s="36" t="s">
        <v>244</v>
      </c>
      <c r="BG151" s="36" t="s">
        <v>112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853</v>
      </c>
      <c r="B152" s="36" t="s">
        <v>854</v>
      </c>
      <c r="C152" s="36" t="s">
        <v>855</v>
      </c>
      <c r="D152" s="38">
        <v>10722.32</v>
      </c>
      <c r="E152" s="38">
        <v>13076</v>
      </c>
      <c r="F152" s="39">
        <v>2605</v>
      </c>
      <c r="G152" s="36" t="s">
        <v>118</v>
      </c>
      <c r="H152" s="36" t="s">
        <v>727</v>
      </c>
      <c r="I152" s="36" t="s">
        <v>856</v>
      </c>
      <c r="J152" s="36" t="s">
        <v>236</v>
      </c>
      <c r="K152" s="36" t="s">
        <v>237</v>
      </c>
      <c r="L152" s="40">
        <v>46215</v>
      </c>
      <c r="M152" s="40">
        <v>46215</v>
      </c>
      <c r="N152" s="41">
        <v>46215</v>
      </c>
      <c r="O152" s="36" t="s">
        <v>1377</v>
      </c>
      <c r="P152" s="41" t="s">
        <v>1378</v>
      </c>
      <c r="Q152" s="36" t="s">
        <v>258</v>
      </c>
      <c r="R152" s="36" t="s">
        <v>45</v>
      </c>
      <c r="S152" s="36"/>
      <c r="T152" s="36" t="s">
        <v>1376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243</v>
      </c>
      <c r="BA152" s="47"/>
      <c r="BB152" s="36"/>
      <c r="BC152" s="36"/>
      <c r="BD152" s="36"/>
      <c r="BE152" s="36"/>
      <c r="BF152" s="36" t="s">
        <v>244</v>
      </c>
      <c r="BG152" s="36" t="s">
        <v>112</v>
      </c>
      <c r="BH152" s="37">
        <v>0</v>
      </c>
      <c r="BI152" s="44"/>
      <c r="BJ152" s="36"/>
      <c r="BK152" s="37">
        <v>0</v>
      </c>
      <c r="BL152" s="44"/>
      <c r="BM152" s="36"/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857</v>
      </c>
      <c r="B153" s="36" t="s">
        <v>858</v>
      </c>
      <c r="C153" s="36" t="s">
        <v>859</v>
      </c>
      <c r="D153" s="38">
        <v>12844.48</v>
      </c>
      <c r="E153" s="38">
        <v>15664</v>
      </c>
      <c r="F153" s="39">
        <v>2605</v>
      </c>
      <c r="G153" s="36" t="s">
        <v>118</v>
      </c>
      <c r="H153" s="36" t="s">
        <v>727</v>
      </c>
      <c r="I153" s="36" t="s">
        <v>860</v>
      </c>
      <c r="J153" s="36" t="s">
        <v>236</v>
      </c>
      <c r="K153" s="36" t="s">
        <v>237</v>
      </c>
      <c r="L153" s="40">
        <v>46209</v>
      </c>
      <c r="M153" s="40">
        <v>46209</v>
      </c>
      <c r="N153" s="41">
        <v>46209</v>
      </c>
      <c r="O153" s="36" t="s">
        <v>248</v>
      </c>
      <c r="P153" s="41" t="s">
        <v>239</v>
      </c>
      <c r="Q153" s="36" t="s">
        <v>240</v>
      </c>
      <c r="R153" s="36" t="s">
        <v>45</v>
      </c>
      <c r="S153" s="36" t="s">
        <v>157</v>
      </c>
      <c r="T153" s="36" t="s">
        <v>1376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239</v>
      </c>
      <c r="AX153" s="38">
        <v>0</v>
      </c>
      <c r="AY153" s="45">
        <v>0</v>
      </c>
      <c r="AZ153" s="46" t="s">
        <v>243</v>
      </c>
      <c r="BA153" s="47"/>
      <c r="BB153" s="36"/>
      <c r="BC153" s="36"/>
      <c r="BD153" s="36">
        <v>3</v>
      </c>
      <c r="BE153" s="36">
        <v>4</v>
      </c>
      <c r="BF153" s="36" t="s">
        <v>244</v>
      </c>
      <c r="BG153" s="36" t="s">
        <v>112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861</v>
      </c>
      <c r="B154" s="36" t="s">
        <v>862</v>
      </c>
      <c r="C154" s="36" t="s">
        <v>863</v>
      </c>
      <c r="D154" s="38">
        <v>10507.48</v>
      </c>
      <c r="E154" s="38">
        <v>12814</v>
      </c>
      <c r="F154" s="39">
        <v>2605</v>
      </c>
      <c r="G154" s="36" t="s">
        <v>118</v>
      </c>
      <c r="H154" s="36" t="s">
        <v>727</v>
      </c>
      <c r="I154" s="36" t="s">
        <v>864</v>
      </c>
      <c r="J154" s="36" t="s">
        <v>236</v>
      </c>
      <c r="K154" s="36" t="s">
        <v>237</v>
      </c>
      <c r="L154" s="40">
        <v>46214</v>
      </c>
      <c r="M154" s="40">
        <v>46214</v>
      </c>
      <c r="N154" s="41">
        <v>46214</v>
      </c>
      <c r="O154" s="36" t="s">
        <v>1377</v>
      </c>
      <c r="P154" s="41" t="s">
        <v>1378</v>
      </c>
      <c r="Q154" s="36" t="s">
        <v>258</v>
      </c>
      <c r="R154" s="36" t="s">
        <v>45</v>
      </c>
      <c r="S154" s="36" t="s">
        <v>863</v>
      </c>
      <c r="T154" s="36" t="s">
        <v>1376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243</v>
      </c>
      <c r="BA154" s="47"/>
      <c r="BB154" s="36"/>
      <c r="BC154" s="36"/>
      <c r="BD154" s="36"/>
      <c r="BE154" s="36"/>
      <c r="BF154" s="36" t="s">
        <v>244</v>
      </c>
      <c r="BG154" s="36" t="s">
        <v>112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865</v>
      </c>
      <c r="B155" s="36" t="s">
        <v>866</v>
      </c>
      <c r="C155" s="36" t="s">
        <v>867</v>
      </c>
      <c r="D155" s="38">
        <v>14404.119999999999</v>
      </c>
      <c r="E155" s="38">
        <v>17566</v>
      </c>
      <c r="F155" s="39">
        <v>2605</v>
      </c>
      <c r="G155" s="36" t="s">
        <v>118</v>
      </c>
      <c r="H155" s="36" t="s">
        <v>727</v>
      </c>
      <c r="I155" s="36" t="s">
        <v>868</v>
      </c>
      <c r="J155" s="36" t="s">
        <v>236</v>
      </c>
      <c r="K155" s="36" t="s">
        <v>237</v>
      </c>
      <c r="L155" s="40">
        <v>46179</v>
      </c>
      <c r="M155" s="40">
        <v>46181</v>
      </c>
      <c r="N155" s="41">
        <v>46181</v>
      </c>
      <c r="O155" s="36" t="s">
        <v>782</v>
      </c>
      <c r="P155" s="41" t="s">
        <v>239</v>
      </c>
      <c r="Q155" s="36" t="s">
        <v>240</v>
      </c>
      <c r="R155" s="36" t="s">
        <v>48</v>
      </c>
      <c r="S155" s="36" t="s">
        <v>157</v>
      </c>
      <c r="T155" s="36" t="s">
        <v>799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239</v>
      </c>
      <c r="AX155" s="38">
        <v>3793.7999999999993</v>
      </c>
      <c r="AY155" s="45">
        <v>0</v>
      </c>
      <c r="AZ155" s="46" t="s">
        <v>243</v>
      </c>
      <c r="BA155" s="47"/>
      <c r="BB155" s="36"/>
      <c r="BC155" s="36"/>
      <c r="BD155" s="36">
        <v>1</v>
      </c>
      <c r="BE155" s="36">
        <v>7</v>
      </c>
      <c r="BF155" s="36" t="s">
        <v>244</v>
      </c>
      <c r="BG155" s="36" t="s">
        <v>112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869</v>
      </c>
      <c r="B156" s="36" t="s">
        <v>870</v>
      </c>
      <c r="C156" s="36" t="s">
        <v>871</v>
      </c>
      <c r="D156" s="38">
        <v>24861.579999999998</v>
      </c>
      <c r="E156" s="38">
        <v>30319</v>
      </c>
      <c r="F156" s="39">
        <v>2605</v>
      </c>
      <c r="G156" s="36" t="s">
        <v>118</v>
      </c>
      <c r="H156" s="36" t="s">
        <v>727</v>
      </c>
      <c r="I156" s="36" t="s">
        <v>872</v>
      </c>
      <c r="J156" s="36" t="s">
        <v>236</v>
      </c>
      <c r="K156" s="36" t="s">
        <v>237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243</v>
      </c>
      <c r="BA156" s="47"/>
      <c r="BB156" s="36"/>
      <c r="BC156" s="36"/>
      <c r="BD156" s="36">
        <v>0</v>
      </c>
      <c r="BE156" s="36">
        <v>0</v>
      </c>
      <c r="BF156" s="36" t="s">
        <v>803</v>
      </c>
      <c r="BG156" s="36" t="s">
        <v>112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873</v>
      </c>
      <c r="B157" s="36" t="s">
        <v>874</v>
      </c>
      <c r="C157" s="36" t="s">
        <v>875</v>
      </c>
      <c r="D157" s="38">
        <v>10722.32</v>
      </c>
      <c r="E157" s="38">
        <v>13076</v>
      </c>
      <c r="F157" s="39">
        <v>2605</v>
      </c>
      <c r="G157" s="36" t="s">
        <v>118</v>
      </c>
      <c r="H157" s="36" t="s">
        <v>727</v>
      </c>
      <c r="I157" s="36" t="s">
        <v>876</v>
      </c>
      <c r="J157" s="36" t="s">
        <v>236</v>
      </c>
      <c r="K157" s="36" t="s">
        <v>237</v>
      </c>
      <c r="L157" s="40">
        <v>46202</v>
      </c>
      <c r="M157" s="40">
        <v>46203</v>
      </c>
      <c r="N157" s="41">
        <v>46203</v>
      </c>
      <c r="O157" s="36" t="s">
        <v>256</v>
      </c>
      <c r="P157" s="41" t="s">
        <v>257</v>
      </c>
      <c r="Q157" s="36" t="s">
        <v>258</v>
      </c>
      <c r="R157" s="36" t="s">
        <v>45</v>
      </c>
      <c r="S157" s="36" t="s">
        <v>157</v>
      </c>
      <c r="T157" s="36" t="s">
        <v>1310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242</v>
      </c>
      <c r="AI157" s="38" t="s">
        <v>242</v>
      </c>
      <c r="AJ157" s="38" t="s">
        <v>242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239</v>
      </c>
      <c r="AX157" s="38">
        <v>13076</v>
      </c>
      <c r="AY157" s="45">
        <v>6320</v>
      </c>
      <c r="AZ157" s="46" t="s">
        <v>243</v>
      </c>
      <c r="BA157" s="47"/>
      <c r="BB157" s="36"/>
      <c r="BC157" s="36"/>
      <c r="BD157" s="36">
        <v>2</v>
      </c>
      <c r="BE157" s="36">
        <v>0</v>
      </c>
      <c r="BF157" s="36" t="s">
        <v>244</v>
      </c>
      <c r="BG157" s="36" t="s">
        <v>112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877</v>
      </c>
      <c r="B158" s="36" t="s">
        <v>878</v>
      </c>
      <c r="C158" s="36" t="s">
        <v>879</v>
      </c>
      <c r="D158" s="38">
        <v>11868.68</v>
      </c>
      <c r="E158" s="38">
        <v>14474</v>
      </c>
      <c r="F158" s="39">
        <v>2605</v>
      </c>
      <c r="G158" s="36" t="s">
        <v>118</v>
      </c>
      <c r="H158" s="36" t="s">
        <v>727</v>
      </c>
      <c r="I158" s="36" t="s">
        <v>880</v>
      </c>
      <c r="J158" s="36" t="s">
        <v>236</v>
      </c>
      <c r="K158" s="36" t="s">
        <v>237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243</v>
      </c>
      <c r="BA158" s="47"/>
      <c r="BB158" s="36"/>
      <c r="BC158" s="36"/>
      <c r="BD158" s="36">
        <v>0</v>
      </c>
      <c r="BE158" s="36">
        <v>0</v>
      </c>
      <c r="BF158" s="36" t="s">
        <v>803</v>
      </c>
      <c r="BG158" s="36" t="s">
        <v>112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881</v>
      </c>
      <c r="B159" s="36" t="s">
        <v>882</v>
      </c>
      <c r="C159" s="36" t="s">
        <v>883</v>
      </c>
      <c r="D159" s="38">
        <v>19429.900000000001</v>
      </c>
      <c r="E159" s="38">
        <v>23695</v>
      </c>
      <c r="F159" s="39">
        <v>2605</v>
      </c>
      <c r="G159" s="36" t="s">
        <v>118</v>
      </c>
      <c r="H159" s="36" t="s">
        <v>727</v>
      </c>
      <c r="I159" s="36" t="s">
        <v>884</v>
      </c>
      <c r="J159" s="36" t="s">
        <v>236</v>
      </c>
      <c r="K159" s="36" t="s">
        <v>237</v>
      </c>
      <c r="L159" s="40">
        <v>46215</v>
      </c>
      <c r="M159" s="40">
        <v>46216</v>
      </c>
      <c r="N159" s="41">
        <v>46216</v>
      </c>
      <c r="O159" s="36" t="s">
        <v>256</v>
      </c>
      <c r="P159" s="41" t="s">
        <v>257</v>
      </c>
      <c r="Q159" s="36" t="s">
        <v>258</v>
      </c>
      <c r="R159" s="36" t="s">
        <v>45</v>
      </c>
      <c r="S159" s="36"/>
      <c r="T159" s="36" t="s">
        <v>1382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243</v>
      </c>
      <c r="BA159" s="47"/>
      <c r="BB159" s="36"/>
      <c r="BC159" s="36"/>
      <c r="BD159" s="36"/>
      <c r="BE159" s="36"/>
      <c r="BF159" s="36" t="s">
        <v>244</v>
      </c>
      <c r="BG159" s="36" t="s">
        <v>112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885</v>
      </c>
      <c r="B160" s="36" t="s">
        <v>886</v>
      </c>
      <c r="C160" s="36" t="s">
        <v>887</v>
      </c>
      <c r="D160" s="38">
        <v>16058.880000000001</v>
      </c>
      <c r="E160" s="38">
        <v>19584</v>
      </c>
      <c r="F160" s="39">
        <v>2605</v>
      </c>
      <c r="G160" s="36" t="s">
        <v>118</v>
      </c>
      <c r="H160" s="36" t="s">
        <v>727</v>
      </c>
      <c r="I160" s="36" t="s">
        <v>888</v>
      </c>
      <c r="J160" s="36" t="s">
        <v>236</v>
      </c>
      <c r="K160" s="36" t="s">
        <v>237</v>
      </c>
      <c r="L160" s="40">
        <v>46212</v>
      </c>
      <c r="M160" s="40">
        <v>46212</v>
      </c>
      <c r="N160" s="41">
        <v>46212</v>
      </c>
      <c r="O160" s="36" t="s">
        <v>1377</v>
      </c>
      <c r="P160" s="41" t="s">
        <v>1378</v>
      </c>
      <c r="Q160" s="36" t="s">
        <v>258</v>
      </c>
      <c r="R160" s="36" t="s">
        <v>45</v>
      </c>
      <c r="S160" s="36" t="s">
        <v>157</v>
      </c>
      <c r="T160" s="36" t="s">
        <v>1376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239</v>
      </c>
      <c r="AX160" s="38">
        <v>0</v>
      </c>
      <c r="AY160" s="45">
        <v>0</v>
      </c>
      <c r="AZ160" s="46" t="s">
        <v>243</v>
      </c>
      <c r="BA160" s="47"/>
      <c r="BB160" s="36"/>
      <c r="BC160" s="36"/>
      <c r="BD160" s="36">
        <v>4</v>
      </c>
      <c r="BE160" s="36"/>
      <c r="BF160" s="36" t="s">
        <v>244</v>
      </c>
      <c r="BG160" s="36" t="s">
        <v>112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889</v>
      </c>
      <c r="B161" s="36" t="s">
        <v>890</v>
      </c>
      <c r="C161" s="36" t="s">
        <v>891</v>
      </c>
      <c r="D161" s="38">
        <v>15785.82</v>
      </c>
      <c r="E161" s="38">
        <v>19251</v>
      </c>
      <c r="F161" s="39">
        <v>2605</v>
      </c>
      <c r="G161" s="36" t="s">
        <v>118</v>
      </c>
      <c r="H161" s="36" t="s">
        <v>727</v>
      </c>
      <c r="I161" s="36" t="s">
        <v>892</v>
      </c>
      <c r="J161" s="36" t="s">
        <v>236</v>
      </c>
      <c r="K161" s="36" t="s">
        <v>237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243</v>
      </c>
      <c r="BA161" s="47"/>
      <c r="BB161" s="36"/>
      <c r="BC161" s="36"/>
      <c r="BD161" s="36">
        <v>0</v>
      </c>
      <c r="BE161" s="36">
        <v>0</v>
      </c>
      <c r="BF161" s="36" t="s">
        <v>803</v>
      </c>
      <c r="BG161" s="36" t="s">
        <v>112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893</v>
      </c>
      <c r="B162" s="36" t="s">
        <v>894</v>
      </c>
      <c r="C162" s="36" t="s">
        <v>895</v>
      </c>
      <c r="D162" s="38">
        <v>12844.48</v>
      </c>
      <c r="E162" s="38">
        <v>15664</v>
      </c>
      <c r="F162" s="39">
        <v>2605</v>
      </c>
      <c r="G162" s="36" t="s">
        <v>118</v>
      </c>
      <c r="H162" s="36" t="s">
        <v>727</v>
      </c>
      <c r="I162" s="36" t="s">
        <v>896</v>
      </c>
      <c r="J162" s="36" t="s">
        <v>236</v>
      </c>
      <c r="K162" s="36" t="s">
        <v>237</v>
      </c>
      <c r="L162" s="40">
        <v>46214</v>
      </c>
      <c r="M162" s="40">
        <v>46214</v>
      </c>
      <c r="N162" s="41">
        <v>46214</v>
      </c>
      <c r="O162" s="36" t="s">
        <v>1377</v>
      </c>
      <c r="P162" s="41" t="s">
        <v>1378</v>
      </c>
      <c r="Q162" s="36" t="s">
        <v>258</v>
      </c>
      <c r="R162" s="36" t="s">
        <v>45</v>
      </c>
      <c r="S162" s="36" t="s">
        <v>160</v>
      </c>
      <c r="T162" s="36" t="s">
        <v>1376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/>
      <c r="AW162" s="44"/>
      <c r="AX162" s="38">
        <v>0</v>
      </c>
      <c r="AY162" s="45">
        <v>0</v>
      </c>
      <c r="AZ162" s="46" t="s">
        <v>243</v>
      </c>
      <c r="BA162" s="47"/>
      <c r="BB162" s="36"/>
      <c r="BC162" s="36"/>
      <c r="BD162" s="36">
        <v>2</v>
      </c>
      <c r="BE162" s="36"/>
      <c r="BF162" s="36" t="s">
        <v>244</v>
      </c>
      <c r="BG162" s="36" t="s">
        <v>112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897</v>
      </c>
      <c r="B163" s="36" t="s">
        <v>898</v>
      </c>
      <c r="C163" s="36" t="s">
        <v>899</v>
      </c>
      <c r="D163" s="38">
        <v>16723.900000000001</v>
      </c>
      <c r="E163" s="38">
        <v>20395</v>
      </c>
      <c r="F163" s="39">
        <v>2605</v>
      </c>
      <c r="G163" s="36" t="s">
        <v>118</v>
      </c>
      <c r="H163" s="36" t="s">
        <v>727</v>
      </c>
      <c r="I163" s="36" t="s">
        <v>900</v>
      </c>
      <c r="J163" s="36" t="s">
        <v>236</v>
      </c>
      <c r="K163" s="36" t="s">
        <v>237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243</v>
      </c>
      <c r="BA163" s="47"/>
      <c r="BB163" s="36"/>
      <c r="BC163" s="36"/>
      <c r="BD163" s="36">
        <v>0</v>
      </c>
      <c r="BE163" s="36">
        <v>0</v>
      </c>
      <c r="BF163" s="36" t="s">
        <v>803</v>
      </c>
      <c r="BG163" s="36" t="s">
        <v>112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901</v>
      </c>
      <c r="B164" s="36" t="s">
        <v>902</v>
      </c>
      <c r="C164" s="36" t="s">
        <v>903</v>
      </c>
      <c r="D164" s="38">
        <v>15995.740000000002</v>
      </c>
      <c r="E164" s="38">
        <v>19507</v>
      </c>
      <c r="F164" s="39">
        <v>2605</v>
      </c>
      <c r="G164" s="36" t="s">
        <v>118</v>
      </c>
      <c r="H164" s="36" t="s">
        <v>727</v>
      </c>
      <c r="I164" s="36" t="s">
        <v>904</v>
      </c>
      <c r="J164" s="36" t="s">
        <v>236</v>
      </c>
      <c r="K164" s="36" t="s">
        <v>237</v>
      </c>
      <c r="L164" s="40">
        <v>46205</v>
      </c>
      <c r="M164" s="40">
        <v>46206</v>
      </c>
      <c r="N164" s="41">
        <v>46206</v>
      </c>
      <c r="O164" s="36" t="s">
        <v>248</v>
      </c>
      <c r="P164" s="41" t="s">
        <v>239</v>
      </c>
      <c r="Q164" s="36" t="s">
        <v>240</v>
      </c>
      <c r="R164" s="36" t="s">
        <v>45</v>
      </c>
      <c r="S164" s="36" t="s">
        <v>157</v>
      </c>
      <c r="T164" s="36" t="s">
        <v>1310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239</v>
      </c>
      <c r="AX164" s="38">
        <v>19507</v>
      </c>
      <c r="AY164" s="45">
        <v>0</v>
      </c>
      <c r="AZ164" s="46" t="s">
        <v>243</v>
      </c>
      <c r="BA164" s="47"/>
      <c r="BB164" s="36"/>
      <c r="BC164" s="36"/>
      <c r="BD164" s="36">
        <v>1</v>
      </c>
      <c r="BE164" s="36">
        <v>0</v>
      </c>
      <c r="BF164" s="36" t="s">
        <v>244</v>
      </c>
      <c r="BG164" s="36" t="s">
        <v>112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905</v>
      </c>
      <c r="B165" s="36" t="s">
        <v>906</v>
      </c>
      <c r="C165" s="36" t="s">
        <v>907</v>
      </c>
      <c r="D165" s="38">
        <v>16723.900000000001</v>
      </c>
      <c r="E165" s="38">
        <v>20395</v>
      </c>
      <c r="F165" s="39">
        <v>2605</v>
      </c>
      <c r="G165" s="36" t="s">
        <v>118</v>
      </c>
      <c r="H165" s="36" t="s">
        <v>727</v>
      </c>
      <c r="I165" s="36" t="s">
        <v>908</v>
      </c>
      <c r="J165" s="36" t="s">
        <v>236</v>
      </c>
      <c r="K165" s="36" t="s">
        <v>237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243</v>
      </c>
      <c r="BA165" s="47"/>
      <c r="BB165" s="36"/>
      <c r="BC165" s="36"/>
      <c r="BD165" s="36">
        <v>0</v>
      </c>
      <c r="BE165" s="36">
        <v>0</v>
      </c>
      <c r="BF165" s="36" t="s">
        <v>803</v>
      </c>
      <c r="BG165" s="36" t="s">
        <v>112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909</v>
      </c>
      <c r="B166" s="36" t="s">
        <v>910</v>
      </c>
      <c r="C166" s="36" t="s">
        <v>911</v>
      </c>
      <c r="D166" s="38">
        <v>17042.059999999998</v>
      </c>
      <c r="E166" s="38">
        <v>20783</v>
      </c>
      <c r="F166" s="39">
        <v>2605</v>
      </c>
      <c r="G166" s="36" t="s">
        <v>118</v>
      </c>
      <c r="H166" s="36" t="s">
        <v>727</v>
      </c>
      <c r="I166" s="36" t="s">
        <v>912</v>
      </c>
      <c r="J166" s="36" t="s">
        <v>236</v>
      </c>
      <c r="K166" s="36" t="s">
        <v>237</v>
      </c>
      <c r="L166" s="40">
        <v>46183</v>
      </c>
      <c r="M166" s="40">
        <v>46184</v>
      </c>
      <c r="N166" s="41">
        <v>46184</v>
      </c>
      <c r="O166" s="36" t="s">
        <v>248</v>
      </c>
      <c r="P166" s="41" t="s">
        <v>239</v>
      </c>
      <c r="Q166" s="36" t="s">
        <v>240</v>
      </c>
      <c r="R166" s="36" t="s">
        <v>48</v>
      </c>
      <c r="S166" s="36" t="s">
        <v>157</v>
      </c>
      <c r="T166" s="36" t="s">
        <v>799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242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239</v>
      </c>
      <c r="AX166" s="38">
        <v>6853.9</v>
      </c>
      <c r="AY166" s="45">
        <v>300</v>
      </c>
      <c r="AZ166" s="46" t="s">
        <v>243</v>
      </c>
      <c r="BA166" s="47"/>
      <c r="BB166" s="36"/>
      <c r="BC166" s="36"/>
      <c r="BD166" s="36">
        <v>1</v>
      </c>
      <c r="BE166" s="36">
        <v>5</v>
      </c>
      <c r="BF166" s="36" t="s">
        <v>244</v>
      </c>
      <c r="BG166" s="36" t="s">
        <v>112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913</v>
      </c>
      <c r="B167" s="36" t="s">
        <v>914</v>
      </c>
      <c r="C167" s="36" t="s">
        <v>915</v>
      </c>
      <c r="D167" s="38">
        <v>11868.68</v>
      </c>
      <c r="E167" s="38">
        <v>14474</v>
      </c>
      <c r="F167" s="39">
        <v>2605</v>
      </c>
      <c r="G167" s="36" t="s">
        <v>118</v>
      </c>
      <c r="H167" s="36" t="s">
        <v>727</v>
      </c>
      <c r="I167" s="36" t="s">
        <v>916</v>
      </c>
      <c r="J167" s="36" t="s">
        <v>236</v>
      </c>
      <c r="K167" s="36" t="s">
        <v>237</v>
      </c>
      <c r="L167" s="40">
        <v>46213</v>
      </c>
      <c r="M167" s="40">
        <v>46214</v>
      </c>
      <c r="N167" s="41">
        <v>46214</v>
      </c>
      <c r="O167" s="36" t="s">
        <v>248</v>
      </c>
      <c r="P167" s="41" t="s">
        <v>239</v>
      </c>
      <c r="Q167" s="36" t="s">
        <v>240</v>
      </c>
      <c r="R167" s="36" t="s">
        <v>45</v>
      </c>
      <c r="S167" s="36" t="s">
        <v>157</v>
      </c>
      <c r="T167" s="36" t="s">
        <v>1376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239</v>
      </c>
      <c r="AX167" s="38">
        <v>0</v>
      </c>
      <c r="AY167" s="45">
        <v>0</v>
      </c>
      <c r="AZ167" s="46" t="s">
        <v>243</v>
      </c>
      <c r="BA167" s="47"/>
      <c r="BB167" s="36"/>
      <c r="BC167" s="36"/>
      <c r="BD167" s="36"/>
      <c r="BE167" s="36"/>
      <c r="BF167" s="36" t="s">
        <v>244</v>
      </c>
      <c r="BG167" s="36" t="s">
        <v>112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917</v>
      </c>
      <c r="B168" s="36" t="s">
        <v>918</v>
      </c>
      <c r="C168" s="36" t="s">
        <v>919</v>
      </c>
      <c r="D168" s="38">
        <v>18493.46</v>
      </c>
      <c r="E168" s="38">
        <v>22553</v>
      </c>
      <c r="F168" s="39">
        <v>2605</v>
      </c>
      <c r="G168" s="36" t="s">
        <v>118</v>
      </c>
      <c r="H168" s="36" t="s">
        <v>727</v>
      </c>
      <c r="I168" s="36" t="s">
        <v>920</v>
      </c>
      <c r="J168" s="36" t="s">
        <v>236</v>
      </c>
      <c r="K168" s="36" t="s">
        <v>237</v>
      </c>
      <c r="L168" s="40">
        <v>46183</v>
      </c>
      <c r="M168" s="40">
        <v>46184</v>
      </c>
      <c r="N168" s="41">
        <v>46184</v>
      </c>
      <c r="O168" s="36" t="s">
        <v>417</v>
      </c>
      <c r="P168" s="41" t="s">
        <v>239</v>
      </c>
      <c r="Q168" s="36" t="s">
        <v>240</v>
      </c>
      <c r="R168" s="36" t="s">
        <v>48</v>
      </c>
      <c r="S168" s="36" t="s">
        <v>157</v>
      </c>
      <c r="T168" s="36" t="s">
        <v>799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242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239</v>
      </c>
      <c r="AX168" s="38">
        <v>5289.9000000000015</v>
      </c>
      <c r="AY168" s="45">
        <v>300</v>
      </c>
      <c r="AZ168" s="46" t="s">
        <v>243</v>
      </c>
      <c r="BA168" s="47"/>
      <c r="BB168" s="36"/>
      <c r="BC168" s="36"/>
      <c r="BD168" s="36">
        <v>2</v>
      </c>
      <c r="BE168" s="36">
        <v>5</v>
      </c>
      <c r="BF168" s="36" t="s">
        <v>244</v>
      </c>
      <c r="BG168" s="36" t="s">
        <v>112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921</v>
      </c>
      <c r="B169" s="36" t="s">
        <v>922</v>
      </c>
      <c r="C169" s="36" t="s">
        <v>923</v>
      </c>
      <c r="D169" s="38">
        <v>10525.52</v>
      </c>
      <c r="E169" s="38">
        <v>12836</v>
      </c>
      <c r="F169" s="39">
        <v>2605</v>
      </c>
      <c r="G169" s="36" t="s">
        <v>118</v>
      </c>
      <c r="H169" s="36" t="s">
        <v>727</v>
      </c>
      <c r="I169" s="36" t="s">
        <v>924</v>
      </c>
      <c r="J169" s="36" t="s">
        <v>236</v>
      </c>
      <c r="K169" s="36" t="s">
        <v>237</v>
      </c>
      <c r="L169" s="40">
        <v>46208</v>
      </c>
      <c r="M169" s="40">
        <v>46208</v>
      </c>
      <c r="N169" s="41">
        <v>46208</v>
      </c>
      <c r="O169" s="36" t="s">
        <v>1377</v>
      </c>
      <c r="P169" s="41" t="s">
        <v>1378</v>
      </c>
      <c r="Q169" s="36" t="s">
        <v>258</v>
      </c>
      <c r="R169" s="36" t="s">
        <v>45</v>
      </c>
      <c r="S169" s="36" t="s">
        <v>157</v>
      </c>
      <c r="T169" s="36" t="s">
        <v>1310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239</v>
      </c>
      <c r="AX169" s="38">
        <v>0</v>
      </c>
      <c r="AY169" s="45">
        <v>0</v>
      </c>
      <c r="AZ169" s="46" t="s">
        <v>243</v>
      </c>
      <c r="BA169" s="47"/>
      <c r="BB169" s="36"/>
      <c r="BC169" s="36"/>
      <c r="BD169" s="36">
        <v>4</v>
      </c>
      <c r="BE169" s="36">
        <v>5</v>
      </c>
      <c r="BF169" s="36" t="s">
        <v>244</v>
      </c>
      <c r="BG169" s="36" t="s">
        <v>112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925</v>
      </c>
      <c r="B170" s="36" t="s">
        <v>926</v>
      </c>
      <c r="C170" s="36" t="s">
        <v>927</v>
      </c>
      <c r="D170" s="38">
        <v>14286.86</v>
      </c>
      <c r="E170" s="38">
        <v>17423</v>
      </c>
      <c r="F170" s="39">
        <v>2605</v>
      </c>
      <c r="G170" s="36" t="s">
        <v>118</v>
      </c>
      <c r="H170" s="36" t="s">
        <v>727</v>
      </c>
      <c r="I170" s="36" t="s">
        <v>928</v>
      </c>
      <c r="J170" s="36" t="s">
        <v>236</v>
      </c>
      <c r="K170" s="36" t="s">
        <v>237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243</v>
      </c>
      <c r="BA170" s="47"/>
      <c r="BB170" s="36"/>
      <c r="BC170" s="36"/>
      <c r="BD170" s="36">
        <v>0</v>
      </c>
      <c r="BE170" s="36">
        <v>0</v>
      </c>
      <c r="BF170" s="36" t="s">
        <v>803</v>
      </c>
      <c r="BG170" s="36" t="s">
        <v>112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929</v>
      </c>
      <c r="B171" s="36" t="s">
        <v>930</v>
      </c>
      <c r="C171" s="36" t="s">
        <v>931</v>
      </c>
      <c r="D171" s="38">
        <v>19501.239999999998</v>
      </c>
      <c r="E171" s="38">
        <v>23782</v>
      </c>
      <c r="F171" s="39">
        <v>2605</v>
      </c>
      <c r="G171" s="36" t="s">
        <v>118</v>
      </c>
      <c r="H171" s="36" t="s">
        <v>727</v>
      </c>
      <c r="I171" s="36" t="s">
        <v>932</v>
      </c>
      <c r="J171" s="36" t="s">
        <v>236</v>
      </c>
      <c r="K171" s="36" t="s">
        <v>237</v>
      </c>
      <c r="L171" s="40">
        <v>46211</v>
      </c>
      <c r="M171" s="40">
        <v>46212</v>
      </c>
      <c r="N171" s="41">
        <v>46212</v>
      </c>
      <c r="O171" s="36" t="s">
        <v>1377</v>
      </c>
      <c r="P171" s="41" t="s">
        <v>1378</v>
      </c>
      <c r="Q171" s="36" t="s">
        <v>258</v>
      </c>
      <c r="R171" s="36" t="s">
        <v>45</v>
      </c>
      <c r="S171" s="36" t="s">
        <v>157</v>
      </c>
      <c r="T171" s="36" t="s">
        <v>1376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2826</v>
      </c>
      <c r="AA171" s="42">
        <v>46216</v>
      </c>
      <c r="AB171" s="38">
        <v>26608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239</v>
      </c>
      <c r="AX171" s="38">
        <v>0</v>
      </c>
      <c r="AY171" s="45">
        <v>0</v>
      </c>
      <c r="AZ171" s="46" t="s">
        <v>243</v>
      </c>
      <c r="BA171" s="47"/>
      <c r="BB171" s="36"/>
      <c r="BC171" s="36"/>
      <c r="BD171" s="36">
        <v>1</v>
      </c>
      <c r="BE171" s="36"/>
      <c r="BF171" s="36" t="s">
        <v>244</v>
      </c>
      <c r="BG171" s="36" t="s">
        <v>112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26608</v>
      </c>
      <c r="BP171" t="str">
        <f t="shared" si="5"/>
        <v>HAEMBB</v>
      </c>
    </row>
    <row r="172" spans="1:68" x14ac:dyDescent="0.25">
      <c r="A172" s="36" t="s">
        <v>933</v>
      </c>
      <c r="B172" s="36" t="s">
        <v>934</v>
      </c>
      <c r="C172" s="36" t="s">
        <v>935</v>
      </c>
      <c r="D172" s="38">
        <v>20219.559999999998</v>
      </c>
      <c r="E172" s="38">
        <v>24658</v>
      </c>
      <c r="F172" s="39">
        <v>2605</v>
      </c>
      <c r="G172" s="36" t="s">
        <v>118</v>
      </c>
      <c r="H172" s="36" t="s">
        <v>727</v>
      </c>
      <c r="I172" s="36" t="s">
        <v>936</v>
      </c>
      <c r="J172" s="36" t="s">
        <v>236</v>
      </c>
      <c r="K172" s="36" t="s">
        <v>237</v>
      </c>
      <c r="L172" s="40">
        <v>46184</v>
      </c>
      <c r="M172" s="40">
        <v>46186</v>
      </c>
      <c r="N172" s="41">
        <v>46186</v>
      </c>
      <c r="O172" s="36" t="s">
        <v>782</v>
      </c>
      <c r="P172" s="41" t="s">
        <v>239</v>
      </c>
      <c r="Q172" s="36" t="s">
        <v>240</v>
      </c>
      <c r="R172" s="36" t="s">
        <v>48</v>
      </c>
      <c r="S172" s="36" t="s">
        <v>157</v>
      </c>
      <c r="T172" s="36" t="s">
        <v>799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239</v>
      </c>
      <c r="AX172" s="38">
        <v>5921.3999999999978</v>
      </c>
      <c r="AY172" s="45">
        <v>0</v>
      </c>
      <c r="AZ172" s="46" t="s">
        <v>243</v>
      </c>
      <c r="BA172" s="47"/>
      <c r="BB172" s="36"/>
      <c r="BC172" s="36"/>
      <c r="BD172" s="36">
        <v>4</v>
      </c>
      <c r="BE172" s="36">
        <v>6</v>
      </c>
      <c r="BF172" s="36" t="s">
        <v>244</v>
      </c>
      <c r="BG172" s="36" t="s">
        <v>112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937</v>
      </c>
      <c r="B173" s="36" t="s">
        <v>938</v>
      </c>
      <c r="C173" s="36" t="s">
        <v>939</v>
      </c>
      <c r="D173" s="38">
        <v>17485.679999999997</v>
      </c>
      <c r="E173" s="38">
        <v>21324</v>
      </c>
      <c r="F173" s="39">
        <v>2605</v>
      </c>
      <c r="G173" s="36" t="s">
        <v>118</v>
      </c>
      <c r="H173" s="36" t="s">
        <v>727</v>
      </c>
      <c r="I173" s="36" t="s">
        <v>940</v>
      </c>
      <c r="J173" s="36" t="s">
        <v>236</v>
      </c>
      <c r="K173" s="36" t="s">
        <v>237</v>
      </c>
      <c r="L173" s="40">
        <v>46176</v>
      </c>
      <c r="M173" s="40">
        <v>46179</v>
      </c>
      <c r="N173" s="41">
        <v>46179</v>
      </c>
      <c r="O173" s="36" t="s">
        <v>248</v>
      </c>
      <c r="P173" s="41" t="s">
        <v>239</v>
      </c>
      <c r="Q173" s="36" t="s">
        <v>240</v>
      </c>
      <c r="R173" s="36" t="s">
        <v>48</v>
      </c>
      <c r="S173" s="36" t="s">
        <v>157</v>
      </c>
      <c r="T173" s="36" t="s">
        <v>808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242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239</v>
      </c>
      <c r="AX173" s="38">
        <v>4921.1999999999971</v>
      </c>
      <c r="AY173" s="45">
        <v>300</v>
      </c>
      <c r="AZ173" s="46" t="s">
        <v>243</v>
      </c>
      <c r="BA173" s="47"/>
      <c r="BB173" s="36"/>
      <c r="BC173" s="36"/>
      <c r="BD173" s="36">
        <v>2</v>
      </c>
      <c r="BE173" s="36">
        <v>5</v>
      </c>
      <c r="BF173" s="36" t="s">
        <v>244</v>
      </c>
      <c r="BG173" s="36" t="s">
        <v>112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941</v>
      </c>
      <c r="B174" s="36" t="s">
        <v>942</v>
      </c>
      <c r="C174" s="36" t="s">
        <v>943</v>
      </c>
      <c r="D174" s="38">
        <v>10722.32</v>
      </c>
      <c r="E174" s="38">
        <v>13076</v>
      </c>
      <c r="F174" s="39">
        <v>2605</v>
      </c>
      <c r="G174" s="36" t="s">
        <v>118</v>
      </c>
      <c r="H174" s="36" t="s">
        <v>727</v>
      </c>
      <c r="I174" s="36" t="s">
        <v>944</v>
      </c>
      <c r="J174" s="36" t="s">
        <v>236</v>
      </c>
      <c r="K174" s="36" t="s">
        <v>237</v>
      </c>
      <c r="L174" s="40">
        <v>46204</v>
      </c>
      <c r="M174" s="40">
        <v>46205</v>
      </c>
      <c r="N174" s="41">
        <v>46205</v>
      </c>
      <c r="O174" s="36" t="s">
        <v>256</v>
      </c>
      <c r="P174" s="41" t="s">
        <v>257</v>
      </c>
      <c r="Q174" s="36" t="s">
        <v>258</v>
      </c>
      <c r="R174" s="36" t="s">
        <v>45</v>
      </c>
      <c r="S174" s="36" t="s">
        <v>157</v>
      </c>
      <c r="T174" s="36" t="s">
        <v>1310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242</v>
      </c>
      <c r="AI174" s="38" t="s">
        <v>242</v>
      </c>
      <c r="AJ174" s="38" t="s">
        <v>242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239</v>
      </c>
      <c r="AX174" s="38">
        <v>13076</v>
      </c>
      <c r="AY174" s="45">
        <v>6190</v>
      </c>
      <c r="AZ174" s="46" t="s">
        <v>243</v>
      </c>
      <c r="BA174" s="47"/>
      <c r="BB174" s="36"/>
      <c r="BC174" s="36"/>
      <c r="BD174" s="36">
        <v>0</v>
      </c>
      <c r="BE174" s="36">
        <v>0</v>
      </c>
      <c r="BF174" s="36" t="s">
        <v>244</v>
      </c>
      <c r="BG174" s="36" t="s">
        <v>112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945</v>
      </c>
      <c r="B175" s="36" t="s">
        <v>946</v>
      </c>
      <c r="C175" s="36" t="s">
        <v>947</v>
      </c>
      <c r="D175" s="38">
        <v>14404.119999999999</v>
      </c>
      <c r="E175" s="38">
        <v>17566</v>
      </c>
      <c r="F175" s="39">
        <v>2605</v>
      </c>
      <c r="G175" s="36" t="s">
        <v>118</v>
      </c>
      <c r="H175" s="36" t="s">
        <v>727</v>
      </c>
      <c r="I175" s="36" t="s">
        <v>948</v>
      </c>
      <c r="J175" s="36" t="s">
        <v>236</v>
      </c>
      <c r="K175" s="36" t="s">
        <v>237</v>
      </c>
      <c r="L175" s="40">
        <v>46175</v>
      </c>
      <c r="M175" s="40">
        <v>46176</v>
      </c>
      <c r="N175" s="41">
        <v>46176</v>
      </c>
      <c r="O175" s="36" t="s">
        <v>782</v>
      </c>
      <c r="P175" s="41" t="s">
        <v>239</v>
      </c>
      <c r="Q175" s="36" t="s">
        <v>240</v>
      </c>
      <c r="R175" s="36" t="s">
        <v>48</v>
      </c>
      <c r="S175" s="36" t="s">
        <v>157</v>
      </c>
      <c r="T175" s="36" t="s">
        <v>808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239</v>
      </c>
      <c r="AX175" s="38">
        <v>3793.7999999999993</v>
      </c>
      <c r="AY175" s="45">
        <v>0</v>
      </c>
      <c r="AZ175" s="46" t="s">
        <v>243</v>
      </c>
      <c r="BA175" s="47"/>
      <c r="BB175" s="36"/>
      <c r="BC175" s="36"/>
      <c r="BD175" s="36">
        <v>1</v>
      </c>
      <c r="BE175" s="36">
        <v>5</v>
      </c>
      <c r="BF175" s="36" t="s">
        <v>244</v>
      </c>
      <c r="BG175" s="36" t="s">
        <v>112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949</v>
      </c>
      <c r="B176" s="36" t="s">
        <v>950</v>
      </c>
      <c r="C176" s="36" t="s">
        <v>951</v>
      </c>
      <c r="D176" s="38">
        <v>16696.84</v>
      </c>
      <c r="E176" s="38">
        <v>20362</v>
      </c>
      <c r="F176" s="39">
        <v>2605</v>
      </c>
      <c r="G176" s="36" t="s">
        <v>118</v>
      </c>
      <c r="H176" s="36" t="s">
        <v>727</v>
      </c>
      <c r="I176" s="36" t="s">
        <v>952</v>
      </c>
      <c r="J176" s="36" t="s">
        <v>236</v>
      </c>
      <c r="K176" s="36" t="s">
        <v>237</v>
      </c>
      <c r="L176" s="40">
        <v>46209</v>
      </c>
      <c r="M176" s="40">
        <v>46209</v>
      </c>
      <c r="N176" s="41">
        <v>46209</v>
      </c>
      <c r="O176" s="36" t="s">
        <v>1377</v>
      </c>
      <c r="P176" s="41" t="s">
        <v>1378</v>
      </c>
      <c r="Q176" s="36" t="s">
        <v>258</v>
      </c>
      <c r="R176" s="36" t="s">
        <v>45</v>
      </c>
      <c r="S176" s="36" t="s">
        <v>160</v>
      </c>
      <c r="T176" s="36" t="s">
        <v>1376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239</v>
      </c>
      <c r="AX176" s="38">
        <v>0</v>
      </c>
      <c r="AY176" s="45">
        <v>0</v>
      </c>
      <c r="AZ176" s="46" t="s">
        <v>243</v>
      </c>
      <c r="BA176" s="47"/>
      <c r="BB176" s="36"/>
      <c r="BC176" s="36"/>
      <c r="BD176" s="36">
        <v>6</v>
      </c>
      <c r="BE176" s="36">
        <v>7</v>
      </c>
      <c r="BF176" s="36" t="s">
        <v>244</v>
      </c>
      <c r="BG176" s="36" t="s">
        <v>112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953</v>
      </c>
      <c r="B177" s="36" t="s">
        <v>954</v>
      </c>
      <c r="C177" s="36" t="s">
        <v>955</v>
      </c>
      <c r="D177" s="38">
        <v>21374.12</v>
      </c>
      <c r="E177" s="38">
        <v>26066</v>
      </c>
      <c r="F177" s="39">
        <v>2605</v>
      </c>
      <c r="G177" s="36" t="s">
        <v>118</v>
      </c>
      <c r="H177" s="36" t="s">
        <v>727</v>
      </c>
      <c r="I177" s="36" t="s">
        <v>956</v>
      </c>
      <c r="J177" s="36" t="s">
        <v>236</v>
      </c>
      <c r="K177" s="36" t="s">
        <v>237</v>
      </c>
      <c r="L177" s="40"/>
      <c r="M177" s="40"/>
      <c r="N177" s="41">
        <v>0</v>
      </c>
      <c r="O177" s="36" t="s">
        <v>417</v>
      </c>
      <c r="P177" s="41" t="s">
        <v>239</v>
      </c>
      <c r="Q177" s="36" t="s">
        <v>240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243</v>
      </c>
      <c r="BA177" s="47"/>
      <c r="BB177" s="36"/>
      <c r="BC177" s="36"/>
      <c r="BD177" s="36">
        <v>0</v>
      </c>
      <c r="BE177" s="36">
        <v>0</v>
      </c>
      <c r="BF177" s="36" t="s">
        <v>803</v>
      </c>
      <c r="BG177" s="36" t="s">
        <v>112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957</v>
      </c>
      <c r="B178" s="36" t="s">
        <v>958</v>
      </c>
      <c r="C178" s="36" t="s">
        <v>959</v>
      </c>
      <c r="D178" s="38">
        <v>10722.32</v>
      </c>
      <c r="E178" s="38">
        <v>13076</v>
      </c>
      <c r="F178" s="39">
        <v>2605</v>
      </c>
      <c r="G178" s="36" t="s">
        <v>118</v>
      </c>
      <c r="H178" s="36" t="s">
        <v>727</v>
      </c>
      <c r="I178" s="36" t="s">
        <v>960</v>
      </c>
      <c r="J178" s="36" t="s">
        <v>236</v>
      </c>
      <c r="K178" s="36" t="s">
        <v>237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243</v>
      </c>
      <c r="BA178" s="47"/>
      <c r="BB178" s="36"/>
      <c r="BC178" s="36"/>
      <c r="BD178" s="36">
        <v>0</v>
      </c>
      <c r="BE178" s="36">
        <v>0</v>
      </c>
      <c r="BF178" s="36" t="s">
        <v>803</v>
      </c>
      <c r="BG178" s="36" t="s">
        <v>112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961</v>
      </c>
      <c r="B179" s="36" t="s">
        <v>962</v>
      </c>
      <c r="C179" s="36" t="s">
        <v>963</v>
      </c>
      <c r="D179" s="38">
        <v>10310.68</v>
      </c>
      <c r="E179" s="38">
        <v>12574</v>
      </c>
      <c r="F179" s="39">
        <v>2605</v>
      </c>
      <c r="G179" s="36" t="s">
        <v>118</v>
      </c>
      <c r="H179" s="36" t="s">
        <v>727</v>
      </c>
      <c r="I179" s="36" t="s">
        <v>964</v>
      </c>
      <c r="J179" s="36" t="s">
        <v>236</v>
      </c>
      <c r="K179" s="36" t="s">
        <v>237</v>
      </c>
      <c r="L179" s="40">
        <v>46175</v>
      </c>
      <c r="M179" s="40">
        <v>46176</v>
      </c>
      <c r="N179" s="41">
        <v>46176</v>
      </c>
      <c r="O179" s="36" t="s">
        <v>248</v>
      </c>
      <c r="P179" s="41" t="s">
        <v>239</v>
      </c>
      <c r="Q179" s="36" t="s">
        <v>240</v>
      </c>
      <c r="R179" s="36" t="s">
        <v>48</v>
      </c>
      <c r="S179" s="36" t="s">
        <v>157</v>
      </c>
      <c r="T179" s="36" t="s">
        <v>808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242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239</v>
      </c>
      <c r="AX179" s="38">
        <v>0</v>
      </c>
      <c r="AY179" s="45">
        <v>300</v>
      </c>
      <c r="AZ179" s="46" t="s">
        <v>243</v>
      </c>
      <c r="BA179" s="47"/>
      <c r="BB179" s="36"/>
      <c r="BC179" s="36"/>
      <c r="BD179" s="36">
        <v>5</v>
      </c>
      <c r="BE179" s="36">
        <v>7</v>
      </c>
      <c r="BF179" s="36" t="s">
        <v>244</v>
      </c>
      <c r="BG179" s="36" t="s">
        <v>112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965</v>
      </c>
      <c r="B180" s="36" t="s">
        <v>966</v>
      </c>
      <c r="C180" s="36" t="s">
        <v>967</v>
      </c>
      <c r="D180" s="38">
        <v>17969.48</v>
      </c>
      <c r="E180" s="38">
        <v>21914</v>
      </c>
      <c r="F180" s="39">
        <v>2605</v>
      </c>
      <c r="G180" s="36" t="s">
        <v>118</v>
      </c>
      <c r="H180" s="36" t="s">
        <v>727</v>
      </c>
      <c r="I180" s="36" t="s">
        <v>968</v>
      </c>
      <c r="J180" s="36" t="s">
        <v>236</v>
      </c>
      <c r="K180" s="36" t="s">
        <v>237</v>
      </c>
      <c r="L180" s="40">
        <v>46202</v>
      </c>
      <c r="M180" s="40">
        <v>46204</v>
      </c>
      <c r="N180" s="41">
        <v>46204</v>
      </c>
      <c r="O180" s="36" t="s">
        <v>248</v>
      </c>
      <c r="P180" s="41" t="s">
        <v>239</v>
      </c>
      <c r="Q180" s="36" t="s">
        <v>240</v>
      </c>
      <c r="R180" s="36" t="s">
        <v>45</v>
      </c>
      <c r="S180" s="36" t="s">
        <v>157</v>
      </c>
      <c r="T180" s="36" t="s">
        <v>1310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/>
      <c r="AW180" s="44" t="s">
        <v>239</v>
      </c>
      <c r="AX180" s="38">
        <v>21914</v>
      </c>
      <c r="AY180" s="45">
        <v>0</v>
      </c>
      <c r="AZ180" s="46" t="s">
        <v>243</v>
      </c>
      <c r="BA180" s="47"/>
      <c r="BB180" s="36"/>
      <c r="BC180" s="36"/>
      <c r="BD180" s="36">
        <v>1</v>
      </c>
      <c r="BE180" s="36"/>
      <c r="BF180" s="36" t="s">
        <v>244</v>
      </c>
      <c r="BG180" s="36" t="s">
        <v>112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969</v>
      </c>
      <c r="B181" s="36" t="s">
        <v>970</v>
      </c>
      <c r="C181" s="36" t="s">
        <v>971</v>
      </c>
      <c r="D181" s="38">
        <v>10507.48</v>
      </c>
      <c r="E181" s="38">
        <v>12814</v>
      </c>
      <c r="F181" s="39">
        <v>2605</v>
      </c>
      <c r="G181" s="36" t="s">
        <v>118</v>
      </c>
      <c r="H181" s="36" t="s">
        <v>727</v>
      </c>
      <c r="I181" s="36" t="s">
        <v>972</v>
      </c>
      <c r="J181" s="36" t="s">
        <v>236</v>
      </c>
      <c r="K181" s="36" t="s">
        <v>237</v>
      </c>
      <c r="L181" s="40">
        <v>46210</v>
      </c>
      <c r="M181" s="40">
        <v>46211</v>
      </c>
      <c r="N181" s="41">
        <v>46211</v>
      </c>
      <c r="O181" s="36" t="s">
        <v>248</v>
      </c>
      <c r="P181" s="41" t="s">
        <v>239</v>
      </c>
      <c r="Q181" s="36" t="s">
        <v>240</v>
      </c>
      <c r="R181" s="36" t="s">
        <v>45</v>
      </c>
      <c r="S181" s="36" t="s">
        <v>157</v>
      </c>
      <c r="T181" s="36" t="s">
        <v>1376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239</v>
      </c>
      <c r="AX181" s="38">
        <v>0</v>
      </c>
      <c r="AY181" s="45">
        <v>0</v>
      </c>
      <c r="AZ181" s="46" t="s">
        <v>243</v>
      </c>
      <c r="BA181" s="47"/>
      <c r="BB181" s="36"/>
      <c r="BC181" s="36"/>
      <c r="BD181" s="36">
        <v>1</v>
      </c>
      <c r="BE181" s="36">
        <v>2</v>
      </c>
      <c r="BF181" s="36" t="s">
        <v>244</v>
      </c>
      <c r="BG181" s="36" t="s">
        <v>112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973</v>
      </c>
      <c r="B182" s="36" t="s">
        <v>974</v>
      </c>
      <c r="C182" s="36" t="s">
        <v>975</v>
      </c>
      <c r="D182" s="38">
        <v>16820.66</v>
      </c>
      <c r="E182" s="38">
        <v>20513</v>
      </c>
      <c r="F182" s="39">
        <v>2605</v>
      </c>
      <c r="G182" s="36" t="s">
        <v>118</v>
      </c>
      <c r="H182" s="36" t="s">
        <v>727</v>
      </c>
      <c r="I182" s="36" t="s">
        <v>976</v>
      </c>
      <c r="J182" s="36" t="s">
        <v>236</v>
      </c>
      <c r="K182" s="36" t="s">
        <v>237</v>
      </c>
      <c r="L182" s="40">
        <v>46185</v>
      </c>
      <c r="M182" s="40">
        <v>46186</v>
      </c>
      <c r="N182" s="41">
        <v>46186</v>
      </c>
      <c r="O182" s="36" t="s">
        <v>256</v>
      </c>
      <c r="P182" s="41" t="s">
        <v>257</v>
      </c>
      <c r="Q182" s="36" t="s">
        <v>258</v>
      </c>
      <c r="R182" s="36" t="s">
        <v>45</v>
      </c>
      <c r="S182" s="36" t="s">
        <v>157</v>
      </c>
      <c r="T182" s="36" t="s">
        <v>799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242</v>
      </c>
      <c r="AI182" s="38" t="s">
        <v>242</v>
      </c>
      <c r="AJ182" s="38" t="s">
        <v>242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239</v>
      </c>
      <c r="AX182" s="38">
        <v>11036.699999999999</v>
      </c>
      <c r="AY182" s="45">
        <v>8300</v>
      </c>
      <c r="AZ182" s="46" t="s">
        <v>243</v>
      </c>
      <c r="BA182" s="47"/>
      <c r="BB182" s="36"/>
      <c r="BC182" s="36"/>
      <c r="BD182" s="36">
        <v>5</v>
      </c>
      <c r="BE182" s="36">
        <v>9</v>
      </c>
      <c r="BF182" s="36" t="s">
        <v>244</v>
      </c>
      <c r="BG182" s="36" t="s">
        <v>112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977</v>
      </c>
      <c r="B183" s="36" t="s">
        <v>978</v>
      </c>
      <c r="C183" s="36" t="s">
        <v>979</v>
      </c>
      <c r="D183" s="38">
        <v>14388.539999999999</v>
      </c>
      <c r="E183" s="38">
        <v>17547</v>
      </c>
      <c r="F183" s="39">
        <v>2605</v>
      </c>
      <c r="G183" s="36" t="s">
        <v>118</v>
      </c>
      <c r="H183" s="36" t="s">
        <v>727</v>
      </c>
      <c r="I183" s="36" t="s">
        <v>980</v>
      </c>
      <c r="J183" s="36" t="s">
        <v>236</v>
      </c>
      <c r="K183" s="36" t="s">
        <v>237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243</v>
      </c>
      <c r="BA183" s="47"/>
      <c r="BB183" s="36"/>
      <c r="BC183" s="36"/>
      <c r="BD183" s="36">
        <v>0</v>
      </c>
      <c r="BE183" s="36">
        <v>0</v>
      </c>
      <c r="BF183" s="36" t="s">
        <v>803</v>
      </c>
      <c r="BG183" s="36" t="s">
        <v>112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981</v>
      </c>
      <c r="B184" s="36" t="s">
        <v>982</v>
      </c>
      <c r="C184" s="36" t="s">
        <v>983</v>
      </c>
      <c r="D184" s="38">
        <v>24188.36</v>
      </c>
      <c r="E184" s="38">
        <v>29498</v>
      </c>
      <c r="F184" s="39">
        <v>2606</v>
      </c>
      <c r="G184" s="36" t="s">
        <v>118</v>
      </c>
      <c r="H184" s="36" t="s">
        <v>298</v>
      </c>
      <c r="I184" s="36" t="s">
        <v>984</v>
      </c>
      <c r="J184" s="36" t="s">
        <v>236</v>
      </c>
      <c r="K184" s="36" t="s">
        <v>237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243</v>
      </c>
      <c r="BA184" s="47"/>
      <c r="BB184" s="36"/>
      <c r="BC184" s="36"/>
      <c r="BD184" s="36">
        <v>0</v>
      </c>
      <c r="BE184" s="36">
        <v>0</v>
      </c>
      <c r="BF184" s="36" t="s">
        <v>803</v>
      </c>
      <c r="BG184" s="36" t="s">
        <v>112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985</v>
      </c>
      <c r="B185" s="36" t="s">
        <v>986</v>
      </c>
      <c r="C185" s="36" t="s">
        <v>987</v>
      </c>
      <c r="D185" s="38">
        <v>24188.36</v>
      </c>
      <c r="E185" s="38">
        <v>29498</v>
      </c>
      <c r="F185" s="39">
        <v>2606</v>
      </c>
      <c r="G185" s="36" t="s">
        <v>118</v>
      </c>
      <c r="H185" s="36" t="s">
        <v>298</v>
      </c>
      <c r="I185" s="36" t="s">
        <v>988</v>
      </c>
      <c r="J185" s="36" t="s">
        <v>236</v>
      </c>
      <c r="K185" s="36" t="s">
        <v>237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243</v>
      </c>
      <c r="BA185" s="47"/>
      <c r="BB185" s="36"/>
      <c r="BC185" s="36"/>
      <c r="BD185" s="36">
        <v>0</v>
      </c>
      <c r="BE185" s="36">
        <v>0</v>
      </c>
      <c r="BF185" s="36" t="s">
        <v>803</v>
      </c>
      <c r="BG185" s="36" t="s">
        <v>112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989</v>
      </c>
      <c r="B186" s="36" t="s">
        <v>990</v>
      </c>
      <c r="C186" s="36" t="s">
        <v>991</v>
      </c>
      <c r="D186" s="38">
        <v>24188.36</v>
      </c>
      <c r="E186" s="38">
        <v>29498</v>
      </c>
      <c r="F186" s="39">
        <v>2606</v>
      </c>
      <c r="G186" s="36" t="s">
        <v>118</v>
      </c>
      <c r="H186" s="36" t="s">
        <v>298</v>
      </c>
      <c r="I186" s="36" t="s">
        <v>992</v>
      </c>
      <c r="J186" s="36" t="s">
        <v>236</v>
      </c>
      <c r="K186" s="36" t="s">
        <v>237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243</v>
      </c>
      <c r="BA186" s="47"/>
      <c r="BB186" s="36"/>
      <c r="BC186" s="36"/>
      <c r="BD186" s="36">
        <v>0</v>
      </c>
      <c r="BE186" s="36">
        <v>0</v>
      </c>
      <c r="BF186" s="36" t="s">
        <v>803</v>
      </c>
      <c r="BG186" s="36" t="s">
        <v>112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993</v>
      </c>
      <c r="B187" s="36" t="s">
        <v>994</v>
      </c>
      <c r="C187" s="36" t="s">
        <v>995</v>
      </c>
      <c r="D187" s="38">
        <v>24188.36</v>
      </c>
      <c r="E187" s="38">
        <v>29498</v>
      </c>
      <c r="F187" s="39">
        <v>2606</v>
      </c>
      <c r="G187" s="36" t="s">
        <v>118</v>
      </c>
      <c r="H187" s="36" t="s">
        <v>298</v>
      </c>
      <c r="I187" s="36" t="s">
        <v>996</v>
      </c>
      <c r="J187" s="36" t="s">
        <v>236</v>
      </c>
      <c r="K187" s="36" t="s">
        <v>237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243</v>
      </c>
      <c r="BA187" s="47"/>
      <c r="BB187" s="36"/>
      <c r="BC187" s="36"/>
      <c r="BD187" s="36">
        <v>0</v>
      </c>
      <c r="BE187" s="36">
        <v>0</v>
      </c>
      <c r="BF187" s="36" t="s">
        <v>803</v>
      </c>
      <c r="BG187" s="36" t="s">
        <v>112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997</v>
      </c>
      <c r="B188" s="36" t="s">
        <v>998</v>
      </c>
      <c r="C188" s="36" t="s">
        <v>999</v>
      </c>
      <c r="D188" s="38">
        <v>24188.36</v>
      </c>
      <c r="E188" s="38">
        <v>29498</v>
      </c>
      <c r="F188" s="39">
        <v>2606</v>
      </c>
      <c r="G188" s="36" t="s">
        <v>118</v>
      </c>
      <c r="H188" s="36" t="s">
        <v>298</v>
      </c>
      <c r="I188" s="36" t="s">
        <v>1000</v>
      </c>
      <c r="J188" s="36" t="s">
        <v>236</v>
      </c>
      <c r="K188" s="36" t="s">
        <v>237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243</v>
      </c>
      <c r="BA188" s="47"/>
      <c r="BB188" s="36"/>
      <c r="BC188" s="36"/>
      <c r="BD188" s="36">
        <v>0</v>
      </c>
      <c r="BE188" s="36">
        <v>0</v>
      </c>
      <c r="BF188" s="36" t="s">
        <v>803</v>
      </c>
      <c r="BG188" s="36" t="s">
        <v>112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1001</v>
      </c>
      <c r="B189" s="36" t="s">
        <v>1002</v>
      </c>
      <c r="C189" s="36" t="s">
        <v>1003</v>
      </c>
      <c r="D189" s="38">
        <v>24188.36</v>
      </c>
      <c r="E189" s="38">
        <v>29498</v>
      </c>
      <c r="F189" s="39">
        <v>2606</v>
      </c>
      <c r="G189" s="36" t="s">
        <v>118</v>
      </c>
      <c r="H189" s="36" t="s">
        <v>298</v>
      </c>
      <c r="I189" s="36" t="s">
        <v>1004</v>
      </c>
      <c r="J189" s="36" t="s">
        <v>236</v>
      </c>
      <c r="K189" s="36" t="s">
        <v>237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243</v>
      </c>
      <c r="BA189" s="47"/>
      <c r="BB189" s="36"/>
      <c r="BC189" s="36"/>
      <c r="BD189" s="36">
        <v>0</v>
      </c>
      <c r="BE189" s="36">
        <v>0</v>
      </c>
      <c r="BF189" s="36" t="s">
        <v>803</v>
      </c>
      <c r="BG189" s="36" t="s">
        <v>112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1005</v>
      </c>
      <c r="B190" s="36" t="s">
        <v>1006</v>
      </c>
      <c r="C190" s="36" t="s">
        <v>1007</v>
      </c>
      <c r="D190" s="38">
        <v>24188.36</v>
      </c>
      <c r="E190" s="38">
        <v>29498</v>
      </c>
      <c r="F190" s="39">
        <v>2606</v>
      </c>
      <c r="G190" s="36" t="s">
        <v>118</v>
      </c>
      <c r="H190" s="36" t="s">
        <v>298</v>
      </c>
      <c r="I190" s="36" t="s">
        <v>1008</v>
      </c>
      <c r="J190" s="36" t="s">
        <v>236</v>
      </c>
      <c r="K190" s="36" t="s">
        <v>237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243</v>
      </c>
      <c r="BA190" s="47"/>
      <c r="BB190" s="36"/>
      <c r="BC190" s="36"/>
      <c r="BD190" s="36">
        <v>0</v>
      </c>
      <c r="BE190" s="36">
        <v>0</v>
      </c>
      <c r="BF190" s="36" t="s">
        <v>803</v>
      </c>
      <c r="BG190" s="36" t="s">
        <v>112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1009</v>
      </c>
      <c r="B191" s="36" t="s">
        <v>1010</v>
      </c>
      <c r="C191" s="36" t="s">
        <v>1011</v>
      </c>
      <c r="D191" s="38">
        <v>24188.36</v>
      </c>
      <c r="E191" s="38">
        <v>29498</v>
      </c>
      <c r="F191" s="39">
        <v>2606</v>
      </c>
      <c r="G191" s="36" t="s">
        <v>118</v>
      </c>
      <c r="H191" s="36" t="s">
        <v>298</v>
      </c>
      <c r="I191" s="36" t="s">
        <v>1012</v>
      </c>
      <c r="J191" s="36" t="s">
        <v>236</v>
      </c>
      <c r="K191" s="36" t="s">
        <v>237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243</v>
      </c>
      <c r="BA191" s="47"/>
      <c r="BB191" s="36"/>
      <c r="BC191" s="36"/>
      <c r="BD191" s="36">
        <v>0</v>
      </c>
      <c r="BE191" s="36">
        <v>0</v>
      </c>
      <c r="BF191" s="36" t="s">
        <v>803</v>
      </c>
      <c r="BG191" s="36" t="s">
        <v>112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1013</v>
      </c>
      <c r="B192" s="36" t="s">
        <v>1014</v>
      </c>
      <c r="C192" s="36" t="s">
        <v>1015</v>
      </c>
      <c r="D192" s="38">
        <v>5731.8</v>
      </c>
      <c r="E192" s="38">
        <v>6990</v>
      </c>
      <c r="F192" s="39">
        <v>2606</v>
      </c>
      <c r="G192" s="36" t="s">
        <v>118</v>
      </c>
      <c r="H192" s="36" t="s">
        <v>727</v>
      </c>
      <c r="I192" s="36" t="s">
        <v>1016</v>
      </c>
      <c r="J192" s="36" t="s">
        <v>236</v>
      </c>
      <c r="K192" s="36" t="s">
        <v>237</v>
      </c>
      <c r="L192" s="40">
        <v>46179</v>
      </c>
      <c r="M192" s="40">
        <v>46181</v>
      </c>
      <c r="N192" s="41">
        <v>46181</v>
      </c>
      <c r="O192" s="36" t="s">
        <v>256</v>
      </c>
      <c r="P192" s="41" t="s">
        <v>257</v>
      </c>
      <c r="Q192" s="36" t="s">
        <v>258</v>
      </c>
      <c r="R192" s="36" t="s">
        <v>45</v>
      </c>
      <c r="S192" s="36" t="s">
        <v>157</v>
      </c>
      <c r="T192" s="36" t="s">
        <v>799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242</v>
      </c>
      <c r="AI192" s="38" t="s">
        <v>242</v>
      </c>
      <c r="AJ192" s="38" t="s">
        <v>242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239</v>
      </c>
      <c r="AX192" s="38">
        <v>6990</v>
      </c>
      <c r="AY192" s="45">
        <v>3270</v>
      </c>
      <c r="AZ192" s="46" t="s">
        <v>243</v>
      </c>
      <c r="BA192" s="47"/>
      <c r="BB192" s="36"/>
      <c r="BC192" s="36"/>
      <c r="BD192" s="36">
        <v>10</v>
      </c>
      <c r="BE192" s="36">
        <v>14</v>
      </c>
      <c r="BF192" s="36" t="s">
        <v>244</v>
      </c>
      <c r="BG192" s="36" t="s">
        <v>112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1017</v>
      </c>
      <c r="B193" s="36" t="s">
        <v>1018</v>
      </c>
      <c r="C193" s="36" t="s">
        <v>1019</v>
      </c>
      <c r="D193" s="38">
        <v>14677.18</v>
      </c>
      <c r="E193" s="38">
        <v>17899</v>
      </c>
      <c r="F193" s="39">
        <v>2606</v>
      </c>
      <c r="G193" s="36" t="s">
        <v>118</v>
      </c>
      <c r="H193" s="36" t="s">
        <v>727</v>
      </c>
      <c r="I193" s="36" t="s">
        <v>1020</v>
      </c>
      <c r="J193" s="36" t="s">
        <v>236</v>
      </c>
      <c r="K193" s="36" t="s">
        <v>237</v>
      </c>
      <c r="L193" s="40">
        <v>46173</v>
      </c>
      <c r="M193" s="40">
        <v>46175</v>
      </c>
      <c r="N193" s="41">
        <v>46175</v>
      </c>
      <c r="O193" s="36" t="s">
        <v>256</v>
      </c>
      <c r="P193" s="41" t="s">
        <v>257</v>
      </c>
      <c r="Q193" s="36" t="s">
        <v>258</v>
      </c>
      <c r="R193" s="36" t="s">
        <v>45</v>
      </c>
      <c r="S193" s="36" t="s">
        <v>157</v>
      </c>
      <c r="T193" s="36" t="s">
        <v>808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242</v>
      </c>
      <c r="AI193" s="38" t="s">
        <v>242</v>
      </c>
      <c r="AJ193" s="38" t="s">
        <v>242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239</v>
      </c>
      <c r="AX193" s="38">
        <v>5249.5</v>
      </c>
      <c r="AY193" s="45">
        <v>7815</v>
      </c>
      <c r="AZ193" s="46" t="s">
        <v>243</v>
      </c>
      <c r="BA193" s="47"/>
      <c r="BB193" s="36"/>
      <c r="BC193" s="36"/>
      <c r="BD193" s="36">
        <v>10</v>
      </c>
      <c r="BE193" s="36">
        <v>18</v>
      </c>
      <c r="BF193" s="36" t="s">
        <v>244</v>
      </c>
      <c r="BG193" s="36" t="s">
        <v>112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1021</v>
      </c>
      <c r="B194" s="36" t="s">
        <v>1022</v>
      </c>
      <c r="C194" s="36" t="s">
        <v>1023</v>
      </c>
      <c r="D194" s="38">
        <v>12943.7</v>
      </c>
      <c r="E194" s="38">
        <v>15785</v>
      </c>
      <c r="F194" s="39">
        <v>2606</v>
      </c>
      <c r="G194" s="36" t="s">
        <v>118</v>
      </c>
      <c r="H194" s="36" t="s">
        <v>1024</v>
      </c>
      <c r="I194" s="36" t="s">
        <v>944</v>
      </c>
      <c r="J194" s="36" t="s">
        <v>236</v>
      </c>
      <c r="K194" s="36" t="s">
        <v>237</v>
      </c>
      <c r="L194" s="40">
        <v>46193</v>
      </c>
      <c r="M194" s="40">
        <v>46193</v>
      </c>
      <c r="N194" s="41">
        <v>46193</v>
      </c>
      <c r="O194" s="36" t="s">
        <v>256</v>
      </c>
      <c r="P194" s="41" t="s">
        <v>257</v>
      </c>
      <c r="Q194" s="36" t="s">
        <v>258</v>
      </c>
      <c r="R194" s="36" t="s">
        <v>45</v>
      </c>
      <c r="S194" s="36" t="s">
        <v>160</v>
      </c>
      <c r="T194" s="36" t="s">
        <v>756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242</v>
      </c>
      <c r="AI194" s="38" t="s">
        <v>242</v>
      </c>
      <c r="AJ194" s="38" t="s">
        <v>242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239</v>
      </c>
      <c r="AX194" s="38">
        <v>15785</v>
      </c>
      <c r="AY194" s="45">
        <v>6410</v>
      </c>
      <c r="AZ194" s="46" t="s">
        <v>243</v>
      </c>
      <c r="BA194" s="47"/>
      <c r="BB194" s="36"/>
      <c r="BC194" s="36"/>
      <c r="BD194" s="36">
        <v>2</v>
      </c>
      <c r="BE194" s="36">
        <v>5</v>
      </c>
      <c r="BF194" s="36" t="s">
        <v>244</v>
      </c>
      <c r="BG194" s="36" t="s">
        <v>112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1025</v>
      </c>
      <c r="B195" s="36" t="s">
        <v>1026</v>
      </c>
      <c r="C195" s="36" t="s">
        <v>156</v>
      </c>
      <c r="D195" s="38">
        <v>15120.8</v>
      </c>
      <c r="E195" s="38">
        <v>18440</v>
      </c>
      <c r="F195" s="39">
        <v>2606</v>
      </c>
      <c r="G195" s="36" t="s">
        <v>118</v>
      </c>
      <c r="H195" s="36" t="s">
        <v>1024</v>
      </c>
      <c r="I195" s="36" t="s">
        <v>802</v>
      </c>
      <c r="J195" s="36" t="s">
        <v>236</v>
      </c>
      <c r="K195" s="36" t="s">
        <v>237</v>
      </c>
      <c r="L195" s="40">
        <v>46203</v>
      </c>
      <c r="M195" s="40">
        <v>46204</v>
      </c>
      <c r="N195" s="41">
        <v>46204</v>
      </c>
      <c r="O195" s="36" t="s">
        <v>256</v>
      </c>
      <c r="P195" s="41" t="s">
        <v>257</v>
      </c>
      <c r="Q195" s="36" t="s">
        <v>258</v>
      </c>
      <c r="R195" s="36" t="s">
        <v>45</v>
      </c>
      <c r="S195" s="36" t="s">
        <v>157</v>
      </c>
      <c r="T195" s="36" t="s">
        <v>1310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242</v>
      </c>
      <c r="AI195" s="38" t="s">
        <v>242</v>
      </c>
      <c r="AJ195" s="38" t="s">
        <v>242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243</v>
      </c>
      <c r="BA195" s="47"/>
      <c r="BB195" s="36"/>
      <c r="BC195" s="36"/>
      <c r="BD195" s="36">
        <v>0</v>
      </c>
      <c r="BE195" s="36">
        <v>1</v>
      </c>
      <c r="BF195" s="36" t="s">
        <v>244</v>
      </c>
      <c r="BG195" s="36" t="s">
        <v>112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1027</v>
      </c>
      <c r="B196" s="36" t="s">
        <v>1028</v>
      </c>
      <c r="C196" s="36" t="s">
        <v>1029</v>
      </c>
      <c r="D196" s="38">
        <v>15423.380000000001</v>
      </c>
      <c r="E196" s="38">
        <v>18809</v>
      </c>
      <c r="F196" s="39">
        <v>2606</v>
      </c>
      <c r="G196" s="36" t="s">
        <v>118</v>
      </c>
      <c r="H196" s="36" t="s">
        <v>1024</v>
      </c>
      <c r="I196" s="36" t="s">
        <v>1030</v>
      </c>
      <c r="J196" s="36" t="s">
        <v>236</v>
      </c>
      <c r="K196" s="36" t="s">
        <v>237</v>
      </c>
      <c r="L196" s="40">
        <v>46191</v>
      </c>
      <c r="M196" s="40">
        <v>46191</v>
      </c>
      <c r="N196" s="41">
        <v>46191</v>
      </c>
      <c r="O196" s="36" t="s">
        <v>256</v>
      </c>
      <c r="P196" s="41" t="s">
        <v>257</v>
      </c>
      <c r="Q196" s="36" t="s">
        <v>258</v>
      </c>
      <c r="R196" s="36" t="s">
        <v>45</v>
      </c>
      <c r="S196" s="36" t="s">
        <v>160</v>
      </c>
      <c r="T196" s="36" t="s">
        <v>756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242</v>
      </c>
      <c r="AI196" s="38" t="s">
        <v>242</v>
      </c>
      <c r="AJ196" s="38" t="s">
        <v>242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239</v>
      </c>
      <c r="AX196" s="38">
        <v>18809</v>
      </c>
      <c r="AY196" s="45">
        <v>7910</v>
      </c>
      <c r="AZ196" s="46" t="s">
        <v>243</v>
      </c>
      <c r="BA196" s="47"/>
      <c r="BB196" s="36"/>
      <c r="BC196" s="36"/>
      <c r="BD196" s="36">
        <v>0</v>
      </c>
      <c r="BE196" s="36">
        <v>7</v>
      </c>
      <c r="BF196" s="36" t="s">
        <v>244</v>
      </c>
      <c r="BG196" s="36" t="s">
        <v>112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1031</v>
      </c>
      <c r="B197" s="36" t="s">
        <v>1032</v>
      </c>
      <c r="C197" s="36" t="s">
        <v>1033</v>
      </c>
      <c r="D197" s="38">
        <v>17343</v>
      </c>
      <c r="E197" s="38">
        <v>21150</v>
      </c>
      <c r="F197" s="39">
        <v>2606</v>
      </c>
      <c r="G197" s="36" t="s">
        <v>118</v>
      </c>
      <c r="H197" s="36" t="s">
        <v>1024</v>
      </c>
      <c r="I197" s="36" t="s">
        <v>1034</v>
      </c>
      <c r="J197" s="36" t="s">
        <v>236</v>
      </c>
      <c r="K197" s="36" t="s">
        <v>237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243</v>
      </c>
      <c r="BA197" s="47"/>
      <c r="BB197" s="36"/>
      <c r="BC197" s="36"/>
      <c r="BD197" s="36">
        <v>0</v>
      </c>
      <c r="BE197" s="36">
        <v>0</v>
      </c>
      <c r="BF197" s="36" t="s">
        <v>803</v>
      </c>
      <c r="BG197" s="36" t="s">
        <v>112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1035</v>
      </c>
      <c r="B198" s="36" t="s">
        <v>1036</v>
      </c>
      <c r="C198" s="36" t="s">
        <v>1037</v>
      </c>
      <c r="D198" s="38">
        <v>14404.119999999999</v>
      </c>
      <c r="E198" s="38">
        <v>17566</v>
      </c>
      <c r="F198" s="39">
        <v>2606</v>
      </c>
      <c r="G198" s="36" t="s">
        <v>118</v>
      </c>
      <c r="H198" s="36" t="s">
        <v>1024</v>
      </c>
      <c r="I198" s="36" t="s">
        <v>844</v>
      </c>
      <c r="J198" s="36" t="s">
        <v>236</v>
      </c>
      <c r="K198" s="36" t="s">
        <v>237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243</v>
      </c>
      <c r="BA198" s="47"/>
      <c r="BB198" s="36"/>
      <c r="BC198" s="36"/>
      <c r="BD198" s="36">
        <v>0</v>
      </c>
      <c r="BE198" s="36">
        <v>0</v>
      </c>
      <c r="BF198" s="36" t="s">
        <v>803</v>
      </c>
      <c r="BG198" s="36" t="s">
        <v>112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1038</v>
      </c>
      <c r="B199" s="36" t="s">
        <v>1039</v>
      </c>
      <c r="C199" s="36" t="s">
        <v>158</v>
      </c>
      <c r="D199" s="38">
        <v>27064.1</v>
      </c>
      <c r="E199" s="38">
        <v>33005</v>
      </c>
      <c r="F199" s="39">
        <v>2606</v>
      </c>
      <c r="G199" s="36" t="s">
        <v>118</v>
      </c>
      <c r="H199" s="36" t="s">
        <v>1024</v>
      </c>
      <c r="I199" s="36" t="s">
        <v>1040</v>
      </c>
      <c r="J199" s="36" t="s">
        <v>236</v>
      </c>
      <c r="K199" s="36" t="s">
        <v>237</v>
      </c>
      <c r="L199" s="40">
        <v>46196</v>
      </c>
      <c r="M199" s="40">
        <v>46197</v>
      </c>
      <c r="N199" s="41">
        <v>46197</v>
      </c>
      <c r="O199" s="36" t="s">
        <v>256</v>
      </c>
      <c r="P199" s="41" t="s">
        <v>257</v>
      </c>
      <c r="Q199" s="36" t="s">
        <v>258</v>
      </c>
      <c r="R199" s="36" t="s">
        <v>45</v>
      </c>
      <c r="S199" s="36" t="s">
        <v>160</v>
      </c>
      <c r="T199" s="36" t="s">
        <v>1041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242</v>
      </c>
      <c r="AI199" s="38" t="s">
        <v>242</v>
      </c>
      <c r="AJ199" s="38" t="s">
        <v>242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239</v>
      </c>
      <c r="AX199" s="38">
        <v>48889</v>
      </c>
      <c r="AY199" s="45">
        <v>16770</v>
      </c>
      <c r="AZ199" s="46" t="s">
        <v>243</v>
      </c>
      <c r="BA199" s="47"/>
      <c r="BB199" s="36"/>
      <c r="BC199" s="36"/>
      <c r="BD199" s="36">
        <v>2</v>
      </c>
      <c r="BE199" s="36">
        <v>2</v>
      </c>
      <c r="BF199" s="36" t="s">
        <v>244</v>
      </c>
      <c r="BG199" s="36" t="s">
        <v>112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1042</v>
      </c>
      <c r="B200" s="36" t="s">
        <v>1043</v>
      </c>
      <c r="C200" s="36" t="s">
        <v>1044</v>
      </c>
      <c r="D200" s="38">
        <v>17270.84</v>
      </c>
      <c r="E200" s="38">
        <v>21062</v>
      </c>
      <c r="F200" s="39">
        <v>2606</v>
      </c>
      <c r="G200" s="36" t="s">
        <v>118</v>
      </c>
      <c r="H200" s="36" t="s">
        <v>1024</v>
      </c>
      <c r="I200" s="36" t="s">
        <v>1045</v>
      </c>
      <c r="J200" s="36" t="s">
        <v>236</v>
      </c>
      <c r="K200" s="36" t="s">
        <v>237</v>
      </c>
      <c r="L200" s="40">
        <v>46190</v>
      </c>
      <c r="M200" s="40">
        <v>46191</v>
      </c>
      <c r="N200" s="41">
        <v>46191</v>
      </c>
      <c r="O200" s="36" t="s">
        <v>248</v>
      </c>
      <c r="P200" s="41" t="s">
        <v>239</v>
      </c>
      <c r="Q200" s="36" t="s">
        <v>240</v>
      </c>
      <c r="R200" s="36" t="s">
        <v>48</v>
      </c>
      <c r="S200" s="36" t="s">
        <v>160</v>
      </c>
      <c r="T200" s="36" t="s">
        <v>756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242</v>
      </c>
      <c r="AI200" s="38" t="s">
        <v>242</v>
      </c>
      <c r="AJ200" s="38" t="s">
        <v>242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239</v>
      </c>
      <c r="AX200" s="38">
        <v>21062</v>
      </c>
      <c r="AY200" s="45">
        <v>300</v>
      </c>
      <c r="AZ200" s="46" t="s">
        <v>243</v>
      </c>
      <c r="BA200" s="47"/>
      <c r="BB200" s="36"/>
      <c r="BC200" s="36"/>
      <c r="BD200" s="36">
        <v>0</v>
      </c>
      <c r="BE200" s="36">
        <v>6</v>
      </c>
      <c r="BF200" s="36" t="s">
        <v>244</v>
      </c>
      <c r="BG200" s="36" t="s">
        <v>112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1046</v>
      </c>
      <c r="B201" s="36" t="s">
        <v>1047</v>
      </c>
      <c r="C201" s="36" t="s">
        <v>1048</v>
      </c>
      <c r="D201" s="38">
        <v>14404.119999999999</v>
      </c>
      <c r="E201" s="38">
        <v>17566</v>
      </c>
      <c r="F201" s="39">
        <v>2606</v>
      </c>
      <c r="G201" s="36" t="s">
        <v>118</v>
      </c>
      <c r="H201" s="36" t="s">
        <v>1024</v>
      </c>
      <c r="I201" s="36" t="s">
        <v>1049</v>
      </c>
      <c r="J201" s="36" t="s">
        <v>236</v>
      </c>
      <c r="K201" s="36" t="s">
        <v>237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243</v>
      </c>
      <c r="BA201" s="47"/>
      <c r="BB201" s="36"/>
      <c r="BC201" s="36"/>
      <c r="BD201" s="36">
        <v>0</v>
      </c>
      <c r="BE201" s="36">
        <v>0</v>
      </c>
      <c r="BF201" s="36" t="s">
        <v>803</v>
      </c>
      <c r="BG201" s="36" t="s">
        <v>112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1050</v>
      </c>
      <c r="B202" s="36" t="s">
        <v>1051</v>
      </c>
      <c r="C202" s="36" t="s">
        <v>1052</v>
      </c>
      <c r="D202" s="38">
        <v>17333.98</v>
      </c>
      <c r="E202" s="38">
        <v>21139</v>
      </c>
      <c r="F202" s="39">
        <v>2606</v>
      </c>
      <c r="G202" s="36" t="s">
        <v>118</v>
      </c>
      <c r="H202" s="36" t="s">
        <v>1024</v>
      </c>
      <c r="I202" s="36" t="s">
        <v>1053</v>
      </c>
      <c r="J202" s="36" t="s">
        <v>236</v>
      </c>
      <c r="K202" s="36" t="s">
        <v>237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243</v>
      </c>
      <c r="BA202" s="47"/>
      <c r="BB202" s="36"/>
      <c r="BC202" s="36"/>
      <c r="BD202" s="36">
        <v>0</v>
      </c>
      <c r="BE202" s="36">
        <v>0</v>
      </c>
      <c r="BF202" s="36" t="s">
        <v>803</v>
      </c>
      <c r="BG202" s="36" t="s">
        <v>112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1054</v>
      </c>
      <c r="B203" s="36" t="s">
        <v>1055</v>
      </c>
      <c r="C203" s="36" t="s">
        <v>1056</v>
      </c>
      <c r="D203" s="38">
        <v>17343</v>
      </c>
      <c r="E203" s="38">
        <v>21150</v>
      </c>
      <c r="F203" s="39">
        <v>2606</v>
      </c>
      <c r="G203" s="36" t="s">
        <v>118</v>
      </c>
      <c r="H203" s="36" t="s">
        <v>1024</v>
      </c>
      <c r="I203" s="36" t="s">
        <v>1057</v>
      </c>
      <c r="J203" s="36" t="s">
        <v>236</v>
      </c>
      <c r="K203" s="36" t="s">
        <v>237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243</v>
      </c>
      <c r="BA203" s="47"/>
      <c r="BB203" s="36"/>
      <c r="BC203" s="36"/>
      <c r="BD203" s="36">
        <v>0</v>
      </c>
      <c r="BE203" s="36">
        <v>0</v>
      </c>
      <c r="BF203" s="36" t="s">
        <v>803</v>
      </c>
      <c r="BG203" s="36" t="s">
        <v>112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1058</v>
      </c>
      <c r="B204" s="36" t="s">
        <v>1059</v>
      </c>
      <c r="C204" s="36" t="s">
        <v>1060</v>
      </c>
      <c r="D204" s="38">
        <v>17828.439999999999</v>
      </c>
      <c r="E204" s="38">
        <v>21742</v>
      </c>
      <c r="F204" s="39">
        <v>2606</v>
      </c>
      <c r="G204" s="36" t="s">
        <v>118</v>
      </c>
      <c r="H204" s="36" t="s">
        <v>1024</v>
      </c>
      <c r="I204" s="36" t="s">
        <v>1061</v>
      </c>
      <c r="J204" s="36" t="s">
        <v>236</v>
      </c>
      <c r="K204" s="36" t="s">
        <v>237</v>
      </c>
      <c r="L204" s="40">
        <v>46196</v>
      </c>
      <c r="M204" s="40">
        <v>46196</v>
      </c>
      <c r="N204" s="41">
        <v>46196</v>
      </c>
      <c r="O204" s="36" t="s">
        <v>248</v>
      </c>
      <c r="P204" s="41" t="s">
        <v>239</v>
      </c>
      <c r="Q204" s="36" t="s">
        <v>240</v>
      </c>
      <c r="R204" s="36" t="s">
        <v>45</v>
      </c>
      <c r="S204" s="36" t="s">
        <v>157</v>
      </c>
      <c r="T204" s="36" t="s">
        <v>1041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242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239</v>
      </c>
      <c r="AX204" s="38">
        <v>21742</v>
      </c>
      <c r="AY204" s="45">
        <v>300</v>
      </c>
      <c r="AZ204" s="46" t="s">
        <v>243</v>
      </c>
      <c r="BA204" s="47"/>
      <c r="BB204" s="36"/>
      <c r="BC204" s="36"/>
      <c r="BD204" s="36">
        <v>0</v>
      </c>
      <c r="BE204" s="36">
        <v>2</v>
      </c>
      <c r="BF204" s="36" t="s">
        <v>244</v>
      </c>
      <c r="BG204" s="36" t="s">
        <v>112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1062</v>
      </c>
      <c r="B205" s="36" t="s">
        <v>1063</v>
      </c>
      <c r="C205" s="36" t="s">
        <v>1064</v>
      </c>
      <c r="D205" s="38">
        <v>20180.2</v>
      </c>
      <c r="E205" s="38">
        <v>24610</v>
      </c>
      <c r="F205" s="39">
        <v>2606</v>
      </c>
      <c r="G205" s="36" t="s">
        <v>118</v>
      </c>
      <c r="H205" s="36" t="s">
        <v>1024</v>
      </c>
      <c r="I205" s="36" t="s">
        <v>1065</v>
      </c>
      <c r="J205" s="36" t="s">
        <v>236</v>
      </c>
      <c r="K205" s="36" t="s">
        <v>237</v>
      </c>
      <c r="L205" s="40">
        <v>46190</v>
      </c>
      <c r="M205" s="40">
        <v>46190</v>
      </c>
      <c r="N205" s="41">
        <v>46190</v>
      </c>
      <c r="O205" s="36" t="s">
        <v>256</v>
      </c>
      <c r="P205" s="41" t="s">
        <v>257</v>
      </c>
      <c r="Q205" s="36" t="s">
        <v>258</v>
      </c>
      <c r="R205" s="36" t="s">
        <v>45</v>
      </c>
      <c r="S205" s="36" t="s">
        <v>157</v>
      </c>
      <c r="T205" s="36" t="s">
        <v>756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242</v>
      </c>
      <c r="AI205" s="38" t="s">
        <v>242</v>
      </c>
      <c r="AJ205" s="38" t="s">
        <v>242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239</v>
      </c>
      <c r="AX205" s="38">
        <v>24610</v>
      </c>
      <c r="AY205" s="45">
        <v>10150</v>
      </c>
      <c r="AZ205" s="46" t="s">
        <v>243</v>
      </c>
      <c r="BA205" s="47"/>
      <c r="BB205" s="36"/>
      <c r="BC205" s="36"/>
      <c r="BD205" s="36">
        <v>0</v>
      </c>
      <c r="BE205" s="36">
        <v>6</v>
      </c>
      <c r="BF205" s="36" t="s">
        <v>244</v>
      </c>
      <c r="BG205" s="36" t="s">
        <v>112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1066</v>
      </c>
      <c r="B206" s="36" t="s">
        <v>1067</v>
      </c>
      <c r="C206" s="36" t="s">
        <v>1068</v>
      </c>
      <c r="D206" s="38">
        <v>20272.86</v>
      </c>
      <c r="E206" s="38">
        <v>24723</v>
      </c>
      <c r="F206" s="39">
        <v>2606</v>
      </c>
      <c r="G206" s="36" t="s">
        <v>118</v>
      </c>
      <c r="H206" s="36" t="s">
        <v>1024</v>
      </c>
      <c r="I206" s="36" t="s">
        <v>1069</v>
      </c>
      <c r="J206" s="36" t="s">
        <v>236</v>
      </c>
      <c r="K206" s="36" t="s">
        <v>237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243</v>
      </c>
      <c r="BA206" s="47"/>
      <c r="BB206" s="36"/>
      <c r="BC206" s="36"/>
      <c r="BD206" s="36">
        <v>0</v>
      </c>
      <c r="BE206" s="36">
        <v>0</v>
      </c>
      <c r="BF206" s="36" t="s">
        <v>803</v>
      </c>
      <c r="BG206" s="36" t="s">
        <v>112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1070</v>
      </c>
      <c r="B207" s="36" t="s">
        <v>1071</v>
      </c>
      <c r="C207" s="36" t="s">
        <v>159</v>
      </c>
      <c r="D207" s="38">
        <v>17996.54</v>
      </c>
      <c r="E207" s="38">
        <v>21947</v>
      </c>
      <c r="F207" s="39">
        <v>2606</v>
      </c>
      <c r="G207" s="36" t="s">
        <v>118</v>
      </c>
      <c r="H207" s="36" t="s">
        <v>1024</v>
      </c>
      <c r="I207" s="36" t="s">
        <v>1072</v>
      </c>
      <c r="J207" s="36" t="s">
        <v>236</v>
      </c>
      <c r="K207" s="36" t="s">
        <v>237</v>
      </c>
      <c r="L207" s="40">
        <v>46196</v>
      </c>
      <c r="M207" s="40">
        <v>46196</v>
      </c>
      <c r="N207" s="41">
        <v>46196</v>
      </c>
      <c r="O207" s="36" t="s">
        <v>417</v>
      </c>
      <c r="P207" s="41" t="s">
        <v>239</v>
      </c>
      <c r="Q207" s="36" t="s">
        <v>240</v>
      </c>
      <c r="R207" s="36" t="s">
        <v>45</v>
      </c>
      <c r="S207" s="36" t="s">
        <v>160</v>
      </c>
      <c r="T207" s="36" t="s">
        <v>1041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242</v>
      </c>
      <c r="AI207" s="38" t="s">
        <v>242</v>
      </c>
      <c r="AJ207" s="38" t="s">
        <v>242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239</v>
      </c>
      <c r="AX207" s="38">
        <v>21947</v>
      </c>
      <c r="AY207" s="45">
        <v>300</v>
      </c>
      <c r="AZ207" s="46" t="s">
        <v>243</v>
      </c>
      <c r="BA207" s="47"/>
      <c r="BB207" s="36"/>
      <c r="BC207" s="36"/>
      <c r="BD207" s="36">
        <v>2</v>
      </c>
      <c r="BE207" s="36">
        <v>3</v>
      </c>
      <c r="BF207" s="36" t="s">
        <v>244</v>
      </c>
      <c r="BG207" s="36" t="s">
        <v>112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1073</v>
      </c>
      <c r="B208" s="36" t="s">
        <v>1074</v>
      </c>
      <c r="C208" s="36" t="s">
        <v>1075</v>
      </c>
      <c r="D208" s="38">
        <v>14404.119999999999</v>
      </c>
      <c r="E208" s="38">
        <v>17566</v>
      </c>
      <c r="F208" s="39">
        <v>2606</v>
      </c>
      <c r="G208" s="36" t="s">
        <v>118</v>
      </c>
      <c r="H208" s="36" t="s">
        <v>1024</v>
      </c>
      <c r="I208" s="36" t="s">
        <v>1076</v>
      </c>
      <c r="J208" s="36" t="s">
        <v>236</v>
      </c>
      <c r="K208" s="36" t="s">
        <v>237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243</v>
      </c>
      <c r="BA208" s="47"/>
      <c r="BB208" s="36"/>
      <c r="BC208" s="36"/>
      <c r="BD208" s="36">
        <v>0</v>
      </c>
      <c r="BE208" s="36">
        <v>0</v>
      </c>
      <c r="BF208" s="36" t="s">
        <v>803</v>
      </c>
      <c r="BG208" s="36" t="s">
        <v>112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1077</v>
      </c>
      <c r="B209" s="36" t="s">
        <v>1078</v>
      </c>
      <c r="C209" s="36" t="s">
        <v>1079</v>
      </c>
      <c r="D209" s="38">
        <v>21948.119999999995</v>
      </c>
      <c r="E209" s="38">
        <v>26766</v>
      </c>
      <c r="F209" s="39">
        <v>2606</v>
      </c>
      <c r="G209" s="36" t="s">
        <v>118</v>
      </c>
      <c r="H209" s="36" t="s">
        <v>1024</v>
      </c>
      <c r="I209" s="36" t="s">
        <v>832</v>
      </c>
      <c r="J209" s="36" t="s">
        <v>236</v>
      </c>
      <c r="K209" s="36" t="s">
        <v>237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243</v>
      </c>
      <c r="BA209" s="47"/>
      <c r="BB209" s="36"/>
      <c r="BC209" s="36"/>
      <c r="BD209" s="36">
        <v>0</v>
      </c>
      <c r="BE209" s="36">
        <v>0</v>
      </c>
      <c r="BF209" s="36" t="s">
        <v>803</v>
      </c>
      <c r="BG209" s="36" t="s">
        <v>112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1080</v>
      </c>
      <c r="B210" s="36" t="s">
        <v>1081</v>
      </c>
      <c r="C210" s="36" t="s">
        <v>1082</v>
      </c>
      <c r="D210" s="38">
        <v>16368.02</v>
      </c>
      <c r="E210" s="38">
        <v>19961</v>
      </c>
      <c r="F210" s="39">
        <v>2606</v>
      </c>
      <c r="G210" s="36" t="s">
        <v>118</v>
      </c>
      <c r="H210" s="36" t="s">
        <v>1024</v>
      </c>
      <c r="I210" s="36" t="s">
        <v>1083</v>
      </c>
      <c r="J210" s="36" t="s">
        <v>236</v>
      </c>
      <c r="K210" s="36" t="s">
        <v>237</v>
      </c>
      <c r="L210" s="40">
        <v>46198</v>
      </c>
      <c r="M210" s="40">
        <v>46198</v>
      </c>
      <c r="N210" s="41">
        <v>46198</v>
      </c>
      <c r="O210" s="36" t="s">
        <v>248</v>
      </c>
      <c r="P210" s="41" t="s">
        <v>239</v>
      </c>
      <c r="Q210" s="36" t="s">
        <v>240</v>
      </c>
      <c r="R210" s="36" t="s">
        <v>45</v>
      </c>
      <c r="S210" s="36" t="s">
        <v>160</v>
      </c>
      <c r="T210" s="36" t="s">
        <v>1041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242</v>
      </c>
      <c r="AI210" s="38" t="s">
        <v>242</v>
      </c>
      <c r="AJ210" s="38" t="s">
        <v>242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239</v>
      </c>
      <c r="AX210" s="38">
        <v>19961</v>
      </c>
      <c r="AY210" s="45">
        <v>300</v>
      </c>
      <c r="AZ210" s="46" t="s">
        <v>243</v>
      </c>
      <c r="BA210" s="47"/>
      <c r="BB210" s="36"/>
      <c r="BC210" s="36"/>
      <c r="BD210" s="36">
        <v>0</v>
      </c>
      <c r="BE210" s="36">
        <v>2</v>
      </c>
      <c r="BF210" s="36" t="s">
        <v>244</v>
      </c>
      <c r="BG210" s="36" t="s">
        <v>112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1084</v>
      </c>
      <c r="B211" s="36" t="s">
        <v>1085</v>
      </c>
      <c r="C211" s="36" t="s">
        <v>1086</v>
      </c>
      <c r="D211" s="38">
        <v>14404.119999999999</v>
      </c>
      <c r="E211" s="38">
        <v>17566</v>
      </c>
      <c r="F211" s="39">
        <v>2606</v>
      </c>
      <c r="G211" s="36" t="s">
        <v>118</v>
      </c>
      <c r="H211" s="36" t="s">
        <v>1024</v>
      </c>
      <c r="I211" s="36" t="s">
        <v>1087</v>
      </c>
      <c r="J211" s="36" t="s">
        <v>236</v>
      </c>
      <c r="K211" s="36" t="s">
        <v>237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243</v>
      </c>
      <c r="BA211" s="47"/>
      <c r="BB211" s="36"/>
      <c r="BC211" s="36"/>
      <c r="BD211" s="36">
        <v>0</v>
      </c>
      <c r="BE211" s="36">
        <v>0</v>
      </c>
      <c r="BF211" s="36" t="s">
        <v>803</v>
      </c>
      <c r="BG211" s="36" t="s">
        <v>112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1088</v>
      </c>
      <c r="B212" s="36" t="s">
        <v>1089</v>
      </c>
      <c r="C212" s="36" t="s">
        <v>1090</v>
      </c>
      <c r="D212" s="38">
        <v>14413.140000000001</v>
      </c>
      <c r="E212" s="38">
        <v>17577</v>
      </c>
      <c r="F212" s="39">
        <v>2606</v>
      </c>
      <c r="G212" s="36" t="s">
        <v>118</v>
      </c>
      <c r="H212" s="36" t="s">
        <v>1024</v>
      </c>
      <c r="I212" s="36" t="s">
        <v>928</v>
      </c>
      <c r="J212" s="36" t="s">
        <v>236</v>
      </c>
      <c r="K212" s="36" t="s">
        <v>237</v>
      </c>
      <c r="L212" s="40">
        <v>46191</v>
      </c>
      <c r="M212" s="40">
        <v>46191</v>
      </c>
      <c r="N212" s="41">
        <v>46191</v>
      </c>
      <c r="O212" s="36" t="s">
        <v>248</v>
      </c>
      <c r="P212" s="41" t="s">
        <v>239</v>
      </c>
      <c r="Q212" s="36" t="s">
        <v>240</v>
      </c>
      <c r="R212" s="36" t="s">
        <v>45</v>
      </c>
      <c r="S212" s="36" t="s">
        <v>157</v>
      </c>
      <c r="T212" s="36" t="s">
        <v>756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242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239</v>
      </c>
      <c r="AX212" s="38">
        <v>17577</v>
      </c>
      <c r="AY212" s="45">
        <v>300</v>
      </c>
      <c r="AZ212" s="46" t="s">
        <v>243</v>
      </c>
      <c r="BA212" s="47"/>
      <c r="BB212" s="36"/>
      <c r="BC212" s="36"/>
      <c r="BD212" s="36">
        <v>0</v>
      </c>
      <c r="BE212" s="36">
        <v>6</v>
      </c>
      <c r="BF212" s="36" t="s">
        <v>244</v>
      </c>
      <c r="BG212" s="36" t="s">
        <v>112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1091</v>
      </c>
      <c r="B213" s="36" t="s">
        <v>1092</v>
      </c>
      <c r="C213" s="36" t="s">
        <v>161</v>
      </c>
      <c r="D213" s="38">
        <v>17343</v>
      </c>
      <c r="E213" s="38">
        <v>21150</v>
      </c>
      <c r="F213" s="39">
        <v>2606</v>
      </c>
      <c r="G213" s="36" t="s">
        <v>118</v>
      </c>
      <c r="H213" s="36" t="s">
        <v>1024</v>
      </c>
      <c r="I213" s="36" t="s">
        <v>1093</v>
      </c>
      <c r="J213" s="36" t="s">
        <v>236</v>
      </c>
      <c r="K213" s="36" t="s">
        <v>237</v>
      </c>
      <c r="L213" s="40">
        <v>46195</v>
      </c>
      <c r="M213" s="40">
        <v>46195</v>
      </c>
      <c r="N213" s="41">
        <v>46195</v>
      </c>
      <c r="O213" s="36" t="s">
        <v>256</v>
      </c>
      <c r="P213" s="41" t="s">
        <v>257</v>
      </c>
      <c r="Q213" s="36" t="s">
        <v>258</v>
      </c>
      <c r="R213" s="36" t="s">
        <v>45</v>
      </c>
      <c r="S213" s="36" t="s">
        <v>157</v>
      </c>
      <c r="T213" s="36" t="s">
        <v>1041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242</v>
      </c>
      <c r="AI213" s="38" t="s">
        <v>242</v>
      </c>
      <c r="AJ213" s="38" t="s">
        <v>242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239</v>
      </c>
      <c r="AX213" s="38">
        <v>21150</v>
      </c>
      <c r="AY213" s="45">
        <v>8420</v>
      </c>
      <c r="AZ213" s="46" t="s">
        <v>243</v>
      </c>
      <c r="BA213" s="47"/>
      <c r="BB213" s="36"/>
      <c r="BC213" s="36"/>
      <c r="BD213" s="36">
        <v>1</v>
      </c>
      <c r="BE213" s="36">
        <v>4</v>
      </c>
      <c r="BF213" s="36" t="s">
        <v>244</v>
      </c>
      <c r="BG213" s="36" t="s">
        <v>112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1094</v>
      </c>
      <c r="B214" s="36" t="s">
        <v>1095</v>
      </c>
      <c r="C214" s="36" t="s">
        <v>1096</v>
      </c>
      <c r="D214" s="38">
        <v>25307.66</v>
      </c>
      <c r="E214" s="38">
        <v>30863</v>
      </c>
      <c r="F214" s="39">
        <v>2606</v>
      </c>
      <c r="G214" s="36" t="s">
        <v>111</v>
      </c>
      <c r="H214" s="36" t="s">
        <v>1097</v>
      </c>
      <c r="I214" s="36" t="s">
        <v>1098</v>
      </c>
      <c r="J214" s="36" t="s">
        <v>236</v>
      </c>
      <c r="K214" s="36" t="s">
        <v>237</v>
      </c>
      <c r="L214" s="40">
        <v>46210</v>
      </c>
      <c r="M214" s="40">
        <v>46211</v>
      </c>
      <c r="N214" s="41">
        <v>46211</v>
      </c>
      <c r="O214" s="36" t="s">
        <v>417</v>
      </c>
      <c r="P214" s="41" t="s">
        <v>239</v>
      </c>
      <c r="Q214" s="36" t="s">
        <v>240</v>
      </c>
      <c r="R214" s="36" t="s">
        <v>48</v>
      </c>
      <c r="S214" s="36" t="s">
        <v>1107</v>
      </c>
      <c r="T214" s="36" t="s">
        <v>1376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243</v>
      </c>
      <c r="BA214" s="47"/>
      <c r="BB214" s="36"/>
      <c r="BC214" s="36"/>
      <c r="BD214" s="36"/>
      <c r="BE214" s="36"/>
      <c r="BF214" s="36" t="s">
        <v>244</v>
      </c>
      <c r="BG214" s="36" t="s">
        <v>112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1099</v>
      </c>
      <c r="B215" s="36" t="s">
        <v>1100</v>
      </c>
      <c r="C215" s="36" t="s">
        <v>1101</v>
      </c>
      <c r="D215" s="38">
        <v>4187.74</v>
      </c>
      <c r="E215" s="38">
        <v>5107</v>
      </c>
      <c r="F215" s="39">
        <v>2606</v>
      </c>
      <c r="G215" s="36" t="s">
        <v>111</v>
      </c>
      <c r="H215" s="36" t="s">
        <v>1102</v>
      </c>
      <c r="I215" s="36" t="s">
        <v>1098</v>
      </c>
      <c r="J215" s="36" t="s">
        <v>236</v>
      </c>
      <c r="K215" s="36" t="s">
        <v>237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243</v>
      </c>
      <c r="BA215" s="47"/>
      <c r="BB215" s="36"/>
      <c r="BC215" s="36"/>
      <c r="BD215" s="36">
        <v>0</v>
      </c>
      <c r="BE215" s="36">
        <v>0</v>
      </c>
      <c r="BF215" s="36" t="s">
        <v>803</v>
      </c>
      <c r="BG215" s="36" t="s">
        <v>116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1103</v>
      </c>
      <c r="B216" s="36" t="s">
        <v>1104</v>
      </c>
      <c r="C216" s="36" t="s">
        <v>1105</v>
      </c>
      <c r="D216" s="38">
        <v>21533.200000000001</v>
      </c>
      <c r="E216" s="38">
        <v>26260</v>
      </c>
      <c r="F216" s="39">
        <v>2606</v>
      </c>
      <c r="G216" s="36" t="s">
        <v>111</v>
      </c>
      <c r="H216" s="36" t="s">
        <v>1097</v>
      </c>
      <c r="I216" s="36" t="s">
        <v>1106</v>
      </c>
      <c r="J216" s="36" t="s">
        <v>236</v>
      </c>
      <c r="K216" s="36" t="s">
        <v>237</v>
      </c>
      <c r="L216" s="40">
        <v>46190</v>
      </c>
      <c r="M216" s="40">
        <v>46192</v>
      </c>
      <c r="N216" s="41">
        <v>46192</v>
      </c>
      <c r="O216" s="36" t="s">
        <v>417</v>
      </c>
      <c r="P216" s="41" t="s">
        <v>239</v>
      </c>
      <c r="Q216" s="36" t="s">
        <v>240</v>
      </c>
      <c r="R216" s="36" t="s">
        <v>48</v>
      </c>
      <c r="S216" s="36" t="s">
        <v>1107</v>
      </c>
      <c r="T216" s="36" t="s">
        <v>756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242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239</v>
      </c>
      <c r="AX216" s="38">
        <v>26260</v>
      </c>
      <c r="AY216" s="45">
        <v>300</v>
      </c>
      <c r="AZ216" s="46" t="s">
        <v>243</v>
      </c>
      <c r="BA216" s="47"/>
      <c r="BB216" s="36"/>
      <c r="BC216" s="36"/>
      <c r="BD216" s="36">
        <v>3</v>
      </c>
      <c r="BE216" s="36">
        <v>4</v>
      </c>
      <c r="BF216" s="36" t="s">
        <v>244</v>
      </c>
      <c r="BG216" s="36" t="s">
        <v>112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1108</v>
      </c>
      <c r="B217" s="36" t="s">
        <v>1109</v>
      </c>
      <c r="C217" s="36" t="s">
        <v>1110</v>
      </c>
      <c r="D217" s="38">
        <v>21296.22</v>
      </c>
      <c r="E217" s="38">
        <v>25971</v>
      </c>
      <c r="F217" s="39">
        <v>2606</v>
      </c>
      <c r="G217" s="36" t="s">
        <v>111</v>
      </c>
      <c r="H217" s="36" t="s">
        <v>1097</v>
      </c>
      <c r="I217" s="36" t="s">
        <v>1111</v>
      </c>
      <c r="J217" s="36" t="s">
        <v>236</v>
      </c>
      <c r="K217" s="36" t="s">
        <v>237</v>
      </c>
      <c r="L217" s="40">
        <v>46204</v>
      </c>
      <c r="M217" s="40">
        <v>46208</v>
      </c>
      <c r="N217" s="41">
        <v>46208</v>
      </c>
      <c r="O217" s="36" t="s">
        <v>417</v>
      </c>
      <c r="P217" s="41" t="s">
        <v>239</v>
      </c>
      <c r="Q217" s="36" t="s">
        <v>240</v>
      </c>
      <c r="R217" s="36" t="s">
        <v>48</v>
      </c>
      <c r="S217" s="36" t="s">
        <v>1107</v>
      </c>
      <c r="T217" s="36" t="s">
        <v>1310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/>
      <c r="AW217" s="44" t="s">
        <v>239</v>
      </c>
      <c r="AX217" s="38">
        <v>25971</v>
      </c>
      <c r="AY217" s="45">
        <v>0</v>
      </c>
      <c r="AZ217" s="46" t="s">
        <v>243</v>
      </c>
      <c r="BA217" s="47"/>
      <c r="BB217" s="36"/>
      <c r="BC217" s="36"/>
      <c r="BD217" s="36"/>
      <c r="BE217" s="36"/>
      <c r="BF217" s="36" t="s">
        <v>244</v>
      </c>
      <c r="BG217" s="36" t="s">
        <v>112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1312</v>
      </c>
      <c r="B218" s="36" t="s">
        <v>1112</v>
      </c>
      <c r="C218" s="36" t="s">
        <v>1113</v>
      </c>
      <c r="D218" s="38">
        <v>2848.6800000000003</v>
      </c>
      <c r="E218" s="38">
        <v>3474</v>
      </c>
      <c r="F218" s="39">
        <v>2607</v>
      </c>
      <c r="G218" s="36" t="s">
        <v>111</v>
      </c>
      <c r="H218" s="36" t="s">
        <v>1097</v>
      </c>
      <c r="I218" s="36" t="s">
        <v>1114</v>
      </c>
      <c r="J218" s="36" t="s">
        <v>236</v>
      </c>
      <c r="K218" s="36" t="s">
        <v>237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243</v>
      </c>
      <c r="BA218" s="47"/>
      <c r="BB218" s="36"/>
      <c r="BC218" s="36"/>
      <c r="BD218" s="36">
        <v>0</v>
      </c>
      <c r="BE218" s="36">
        <v>0</v>
      </c>
      <c r="BF218" s="36" t="s">
        <v>803</v>
      </c>
      <c r="BG218" s="36" t="s">
        <v>112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1311</v>
      </c>
      <c r="B219" s="36" t="s">
        <v>1115</v>
      </c>
      <c r="C219" s="36" t="s">
        <v>1116</v>
      </c>
      <c r="D219" s="38">
        <v>22212.16</v>
      </c>
      <c r="E219" s="38">
        <v>27088</v>
      </c>
      <c r="F219" s="39">
        <v>2607</v>
      </c>
      <c r="G219" s="36" t="s">
        <v>111</v>
      </c>
      <c r="H219" s="36" t="s">
        <v>1097</v>
      </c>
      <c r="I219" s="36" t="s">
        <v>1117</v>
      </c>
      <c r="J219" s="36" t="s">
        <v>236</v>
      </c>
      <c r="K219" s="36" t="s">
        <v>237</v>
      </c>
      <c r="L219" s="40">
        <v>46199</v>
      </c>
      <c r="M219" s="40">
        <v>46202</v>
      </c>
      <c r="N219" s="41">
        <v>46202</v>
      </c>
      <c r="O219" s="36" t="s">
        <v>417</v>
      </c>
      <c r="P219" s="41" t="s">
        <v>239</v>
      </c>
      <c r="Q219" s="36" t="s">
        <v>240</v>
      </c>
      <c r="R219" s="36" t="s">
        <v>48</v>
      </c>
      <c r="S219" s="36" t="s">
        <v>1107</v>
      </c>
      <c r="T219" s="36" t="s">
        <v>1310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239</v>
      </c>
      <c r="AX219" s="38">
        <v>27088</v>
      </c>
      <c r="AY219" s="45">
        <v>0</v>
      </c>
      <c r="AZ219" s="46" t="s">
        <v>243</v>
      </c>
      <c r="BA219" s="47"/>
      <c r="BB219" s="36"/>
      <c r="BC219" s="36"/>
      <c r="BD219" s="36">
        <v>2</v>
      </c>
      <c r="BE219" s="36">
        <v>3</v>
      </c>
      <c r="BF219" s="36" t="s">
        <v>244</v>
      </c>
      <c r="BG219" s="36" t="s">
        <v>112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1118</v>
      </c>
      <c r="B220" s="36" t="s">
        <v>1119</v>
      </c>
      <c r="C220" s="36" t="s">
        <v>1120</v>
      </c>
      <c r="D220" s="38">
        <v>11260.24</v>
      </c>
      <c r="E220" s="38">
        <v>13732</v>
      </c>
      <c r="F220" s="39">
        <v>2606</v>
      </c>
      <c r="G220" s="36" t="s">
        <v>118</v>
      </c>
      <c r="H220" s="36" t="s">
        <v>1024</v>
      </c>
      <c r="I220" s="36" t="s">
        <v>1121</v>
      </c>
      <c r="J220" s="36" t="s">
        <v>236</v>
      </c>
      <c r="K220" s="36" t="s">
        <v>237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243</v>
      </c>
      <c r="BA220" s="47"/>
      <c r="BB220" s="36"/>
      <c r="BC220" s="36"/>
      <c r="BD220" s="36">
        <v>0</v>
      </c>
      <c r="BE220" s="36">
        <v>0</v>
      </c>
      <c r="BF220" s="36" t="s">
        <v>803</v>
      </c>
      <c r="BG220" s="36" t="s">
        <v>112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1122</v>
      </c>
      <c r="B221" s="36" t="s">
        <v>1123</v>
      </c>
      <c r="C221" s="36" t="s">
        <v>1124</v>
      </c>
      <c r="D221" s="38">
        <v>18740.28</v>
      </c>
      <c r="E221" s="38">
        <v>22854</v>
      </c>
      <c r="F221" s="39">
        <v>2606</v>
      </c>
      <c r="G221" s="36" t="s">
        <v>118</v>
      </c>
      <c r="H221" s="36" t="s">
        <v>1024</v>
      </c>
      <c r="I221" s="36" t="s">
        <v>1125</v>
      </c>
      <c r="J221" s="36" t="s">
        <v>236</v>
      </c>
      <c r="K221" s="36" t="s">
        <v>237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243</v>
      </c>
      <c r="BA221" s="47"/>
      <c r="BB221" s="36"/>
      <c r="BC221" s="36"/>
      <c r="BD221" s="36">
        <v>0</v>
      </c>
      <c r="BE221" s="36">
        <v>0</v>
      </c>
      <c r="BF221" s="36" t="s">
        <v>803</v>
      </c>
      <c r="BG221" s="36" t="s">
        <v>112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1126</v>
      </c>
      <c r="B222" s="36" t="s">
        <v>1127</v>
      </c>
      <c r="C222" s="36" t="s">
        <v>1128</v>
      </c>
      <c r="D222" s="38">
        <v>23336.38</v>
      </c>
      <c r="E222" s="38">
        <v>28459</v>
      </c>
      <c r="F222" s="39">
        <v>2606</v>
      </c>
      <c r="G222" s="36" t="s">
        <v>118</v>
      </c>
      <c r="H222" s="36" t="s">
        <v>1024</v>
      </c>
      <c r="I222" s="36" t="s">
        <v>1129</v>
      </c>
      <c r="J222" s="36" t="s">
        <v>236</v>
      </c>
      <c r="K222" s="36" t="s">
        <v>237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243</v>
      </c>
      <c r="BA222" s="47"/>
      <c r="BB222" s="36"/>
      <c r="BC222" s="36"/>
      <c r="BD222" s="36">
        <v>0</v>
      </c>
      <c r="BE222" s="36">
        <v>0</v>
      </c>
      <c r="BF222" s="36" t="s">
        <v>803</v>
      </c>
      <c r="BG222" s="36" t="s">
        <v>112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1130</v>
      </c>
      <c r="B223" s="36" t="s">
        <v>1131</v>
      </c>
      <c r="C223" s="36" t="s">
        <v>1132</v>
      </c>
      <c r="D223" s="38">
        <v>13902.28</v>
      </c>
      <c r="E223" s="38">
        <v>16954</v>
      </c>
      <c r="F223" s="39">
        <v>2606</v>
      </c>
      <c r="G223" s="36" t="s">
        <v>118</v>
      </c>
      <c r="H223" s="36" t="s">
        <v>1024</v>
      </c>
      <c r="I223" s="36" t="s">
        <v>1133</v>
      </c>
      <c r="J223" s="36" t="s">
        <v>236</v>
      </c>
      <c r="K223" s="36" t="s">
        <v>237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243</v>
      </c>
      <c r="BA223" s="47"/>
      <c r="BB223" s="36"/>
      <c r="BC223" s="36"/>
      <c r="BD223" s="36">
        <v>0</v>
      </c>
      <c r="BE223" s="36">
        <v>0</v>
      </c>
      <c r="BF223" s="36" t="s">
        <v>803</v>
      </c>
      <c r="BG223" s="36" t="s">
        <v>112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1134</v>
      </c>
      <c r="B224" s="36" t="s">
        <v>1135</v>
      </c>
      <c r="C224" s="36" t="s">
        <v>1136</v>
      </c>
      <c r="D224" s="38">
        <v>17763.66</v>
      </c>
      <c r="E224" s="38">
        <v>21663</v>
      </c>
      <c r="F224" s="39">
        <v>2606</v>
      </c>
      <c r="G224" s="36" t="s">
        <v>118</v>
      </c>
      <c r="H224" s="36" t="s">
        <v>1024</v>
      </c>
      <c r="I224" s="36" t="s">
        <v>1137</v>
      </c>
      <c r="J224" s="36" t="s">
        <v>236</v>
      </c>
      <c r="K224" s="36" t="s">
        <v>237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243</v>
      </c>
      <c r="BA224" s="47"/>
      <c r="BB224" s="36"/>
      <c r="BC224" s="36"/>
      <c r="BD224" s="36">
        <v>0</v>
      </c>
      <c r="BE224" s="36">
        <v>0</v>
      </c>
      <c r="BF224" s="36" t="s">
        <v>803</v>
      </c>
      <c r="BG224" s="36" t="s">
        <v>112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1138</v>
      </c>
      <c r="B225" s="36" t="s">
        <v>1139</v>
      </c>
      <c r="C225" s="36" t="s">
        <v>1140</v>
      </c>
      <c r="D225" s="38">
        <v>16321.28</v>
      </c>
      <c r="E225" s="38">
        <v>19904</v>
      </c>
      <c r="F225" s="39">
        <v>2606</v>
      </c>
      <c r="G225" s="36" t="s">
        <v>118</v>
      </c>
      <c r="H225" s="36" t="s">
        <v>1024</v>
      </c>
      <c r="I225" s="36" t="s">
        <v>1141</v>
      </c>
      <c r="J225" s="36" t="s">
        <v>236</v>
      </c>
      <c r="K225" s="36" t="s">
        <v>237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243</v>
      </c>
      <c r="BA225" s="47"/>
      <c r="BB225" s="36"/>
      <c r="BC225" s="36"/>
      <c r="BD225" s="36">
        <v>0</v>
      </c>
      <c r="BE225" s="36">
        <v>0</v>
      </c>
      <c r="BF225" s="36" t="s">
        <v>803</v>
      </c>
      <c r="BG225" s="36" t="s">
        <v>112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1142</v>
      </c>
      <c r="B226" s="36" t="s">
        <v>1143</v>
      </c>
      <c r="C226" s="36" t="s">
        <v>1144</v>
      </c>
      <c r="D226" s="38">
        <v>15371.72</v>
      </c>
      <c r="E226" s="38">
        <v>18746</v>
      </c>
      <c r="F226" s="39">
        <v>2606</v>
      </c>
      <c r="G226" s="36" t="s">
        <v>118</v>
      </c>
      <c r="H226" s="36" t="s">
        <v>1024</v>
      </c>
      <c r="I226" s="36" t="s">
        <v>1145</v>
      </c>
      <c r="J226" s="36" t="s">
        <v>236</v>
      </c>
      <c r="K226" s="36" t="s">
        <v>237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243</v>
      </c>
      <c r="BA226" s="47"/>
      <c r="BB226" s="36"/>
      <c r="BC226" s="36"/>
      <c r="BD226" s="36">
        <v>0</v>
      </c>
      <c r="BE226" s="36">
        <v>0</v>
      </c>
      <c r="BF226" s="36" t="s">
        <v>803</v>
      </c>
      <c r="BG226" s="36" t="s">
        <v>112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1146</v>
      </c>
      <c r="B227" s="36" t="s">
        <v>1147</v>
      </c>
      <c r="C227" s="36" t="s">
        <v>1148</v>
      </c>
      <c r="D227" s="38">
        <v>13902.28</v>
      </c>
      <c r="E227" s="38">
        <v>16954</v>
      </c>
      <c r="F227" s="39">
        <v>2606</v>
      </c>
      <c r="G227" s="36" t="s">
        <v>118</v>
      </c>
      <c r="H227" s="36" t="s">
        <v>1024</v>
      </c>
      <c r="I227" s="36" t="s">
        <v>1149</v>
      </c>
      <c r="J227" s="36" t="s">
        <v>236</v>
      </c>
      <c r="K227" s="36" t="s">
        <v>237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243</v>
      </c>
      <c r="BA227" s="47"/>
      <c r="BB227" s="36"/>
      <c r="BC227" s="36"/>
      <c r="BD227" s="36">
        <v>0</v>
      </c>
      <c r="BE227" s="36">
        <v>0</v>
      </c>
      <c r="BF227" s="36" t="s">
        <v>803</v>
      </c>
      <c r="BG227" s="36" t="s">
        <v>112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1150</v>
      </c>
      <c r="B228" s="36" t="s">
        <v>1151</v>
      </c>
      <c r="C228" s="36" t="s">
        <v>1152</v>
      </c>
      <c r="D228" s="38">
        <v>12943.7</v>
      </c>
      <c r="E228" s="38">
        <v>15785</v>
      </c>
      <c r="F228" s="39">
        <v>2606</v>
      </c>
      <c r="G228" s="36" t="s">
        <v>118</v>
      </c>
      <c r="H228" s="36" t="s">
        <v>1024</v>
      </c>
      <c r="I228" s="36" t="s">
        <v>1153</v>
      </c>
      <c r="J228" s="36" t="s">
        <v>236</v>
      </c>
      <c r="K228" s="36" t="s">
        <v>237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243</v>
      </c>
      <c r="BA228" s="47"/>
      <c r="BB228" s="36"/>
      <c r="BC228" s="36"/>
      <c r="BD228" s="36">
        <v>0</v>
      </c>
      <c r="BE228" s="36">
        <v>0</v>
      </c>
      <c r="BF228" s="36" t="s">
        <v>803</v>
      </c>
      <c r="BG228" s="36" t="s">
        <v>112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1154</v>
      </c>
      <c r="B229" s="36" t="s">
        <v>1155</v>
      </c>
      <c r="C229" s="36" t="s">
        <v>1156</v>
      </c>
      <c r="D229" s="38">
        <v>21473.34</v>
      </c>
      <c r="E229" s="38">
        <v>26187</v>
      </c>
      <c r="F229" s="39">
        <v>2606</v>
      </c>
      <c r="G229" s="36" t="s">
        <v>118</v>
      </c>
      <c r="H229" s="36" t="s">
        <v>1024</v>
      </c>
      <c r="I229" s="36" t="s">
        <v>1157</v>
      </c>
      <c r="J229" s="36" t="s">
        <v>236</v>
      </c>
      <c r="K229" s="36" t="s">
        <v>237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243</v>
      </c>
      <c r="BA229" s="47"/>
      <c r="BB229" s="36"/>
      <c r="BC229" s="36"/>
      <c r="BD229" s="36">
        <v>0</v>
      </c>
      <c r="BE229" s="36">
        <v>0</v>
      </c>
      <c r="BF229" s="36" t="s">
        <v>803</v>
      </c>
      <c r="BG229" s="36" t="s">
        <v>112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1158</v>
      </c>
      <c r="B230" s="36" t="s">
        <v>1159</v>
      </c>
      <c r="C230" s="36" t="s">
        <v>1160</v>
      </c>
      <c r="D230" s="38">
        <v>18740.28</v>
      </c>
      <c r="E230" s="38">
        <v>22854</v>
      </c>
      <c r="F230" s="39">
        <v>2606</v>
      </c>
      <c r="G230" s="36" t="s">
        <v>118</v>
      </c>
      <c r="H230" s="36" t="s">
        <v>1024</v>
      </c>
      <c r="I230" s="36" t="s">
        <v>1161</v>
      </c>
      <c r="J230" s="36" t="s">
        <v>236</v>
      </c>
      <c r="K230" s="36" t="s">
        <v>237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243</v>
      </c>
      <c r="BA230" s="47"/>
      <c r="BB230" s="36"/>
      <c r="BC230" s="36"/>
      <c r="BD230" s="36">
        <v>0</v>
      </c>
      <c r="BE230" s="36">
        <v>0</v>
      </c>
      <c r="BF230" s="36" t="s">
        <v>803</v>
      </c>
      <c r="BG230" s="36" t="s">
        <v>112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1162</v>
      </c>
      <c r="B231" s="36" t="s">
        <v>1163</v>
      </c>
      <c r="C231" s="36" t="s">
        <v>1164</v>
      </c>
      <c r="D231" s="38">
        <v>18740.28</v>
      </c>
      <c r="E231" s="38">
        <v>22854</v>
      </c>
      <c r="F231" s="39">
        <v>2606</v>
      </c>
      <c r="G231" s="36" t="s">
        <v>118</v>
      </c>
      <c r="H231" s="36" t="s">
        <v>1024</v>
      </c>
      <c r="I231" s="36" t="s">
        <v>1165</v>
      </c>
      <c r="J231" s="36" t="s">
        <v>236</v>
      </c>
      <c r="K231" s="36" t="s">
        <v>237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243</v>
      </c>
      <c r="BA231" s="47"/>
      <c r="BB231" s="36"/>
      <c r="BC231" s="36"/>
      <c r="BD231" s="36">
        <v>0</v>
      </c>
      <c r="BE231" s="36">
        <v>0</v>
      </c>
      <c r="BF231" s="36" t="s">
        <v>803</v>
      </c>
      <c r="BG231" s="36" t="s">
        <v>112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1166</v>
      </c>
      <c r="B232" s="36" t="s">
        <v>1167</v>
      </c>
      <c r="C232" s="36" t="s">
        <v>1168</v>
      </c>
      <c r="D232" s="38">
        <v>11475.08</v>
      </c>
      <c r="E232" s="38">
        <v>13994</v>
      </c>
      <c r="F232" s="39">
        <v>2606</v>
      </c>
      <c r="G232" s="36" t="s">
        <v>118</v>
      </c>
      <c r="H232" s="36" t="s">
        <v>1024</v>
      </c>
      <c r="I232" s="36" t="s">
        <v>1169</v>
      </c>
      <c r="J232" s="36" t="s">
        <v>236</v>
      </c>
      <c r="K232" s="36" t="s">
        <v>237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243</v>
      </c>
      <c r="BA232" s="47"/>
      <c r="BB232" s="36"/>
      <c r="BC232" s="36"/>
      <c r="BD232" s="36">
        <v>0</v>
      </c>
      <c r="BE232" s="36">
        <v>0</v>
      </c>
      <c r="BF232" s="36" t="s">
        <v>803</v>
      </c>
      <c r="BG232" s="36" t="s">
        <v>112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1170</v>
      </c>
      <c r="B233" s="36" t="s">
        <v>1171</v>
      </c>
      <c r="C233" s="36" t="s">
        <v>1172</v>
      </c>
      <c r="D233" s="38">
        <v>18740.28</v>
      </c>
      <c r="E233" s="38">
        <v>22854</v>
      </c>
      <c r="F233" s="39">
        <v>2606</v>
      </c>
      <c r="G233" s="36" t="s">
        <v>118</v>
      </c>
      <c r="H233" s="36" t="s">
        <v>1024</v>
      </c>
      <c r="I233" s="36" t="s">
        <v>1173</v>
      </c>
      <c r="J233" s="36" t="s">
        <v>236</v>
      </c>
      <c r="K233" s="36" t="s">
        <v>237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243</v>
      </c>
      <c r="BA233" s="47"/>
      <c r="BB233" s="36"/>
      <c r="BC233" s="36"/>
      <c r="BD233" s="36">
        <v>0</v>
      </c>
      <c r="BE233" s="36">
        <v>0</v>
      </c>
      <c r="BF233" s="36" t="s">
        <v>803</v>
      </c>
      <c r="BG233" s="36" t="s">
        <v>112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1174</v>
      </c>
      <c r="B234" s="36" t="s">
        <v>1175</v>
      </c>
      <c r="C234" s="36" t="s">
        <v>1176</v>
      </c>
      <c r="D234" s="38">
        <v>13993.3</v>
      </c>
      <c r="E234" s="38">
        <v>17065</v>
      </c>
      <c r="F234" s="39">
        <v>2606</v>
      </c>
      <c r="G234" s="36" t="s">
        <v>118</v>
      </c>
      <c r="H234" s="36" t="s">
        <v>1024</v>
      </c>
      <c r="I234" s="36" t="s">
        <v>1177</v>
      </c>
      <c r="J234" s="36" t="s">
        <v>236</v>
      </c>
      <c r="K234" s="36" t="s">
        <v>237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243</v>
      </c>
      <c r="BA234" s="47"/>
      <c r="BB234" s="36"/>
      <c r="BC234" s="36"/>
      <c r="BD234" s="36">
        <v>0</v>
      </c>
      <c r="BE234" s="36">
        <v>0</v>
      </c>
      <c r="BF234" s="36" t="s">
        <v>803</v>
      </c>
      <c r="BG234" s="36" t="s">
        <v>112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1178</v>
      </c>
      <c r="B235" s="36" t="s">
        <v>1179</v>
      </c>
      <c r="C235" s="36" t="s">
        <v>1180</v>
      </c>
      <c r="D235" s="38">
        <v>12209.8</v>
      </c>
      <c r="E235" s="38">
        <v>14890</v>
      </c>
      <c r="F235" s="39">
        <v>2606</v>
      </c>
      <c r="G235" s="36" t="s">
        <v>118</v>
      </c>
      <c r="H235" s="36" t="s">
        <v>1024</v>
      </c>
      <c r="I235" s="36" t="s">
        <v>1181</v>
      </c>
      <c r="J235" s="36" t="s">
        <v>236</v>
      </c>
      <c r="K235" s="36" t="s">
        <v>237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243</v>
      </c>
      <c r="BA235" s="47"/>
      <c r="BB235" s="36"/>
      <c r="BC235" s="36"/>
      <c r="BD235" s="36">
        <v>0</v>
      </c>
      <c r="BE235" s="36">
        <v>0</v>
      </c>
      <c r="BF235" s="36" t="s">
        <v>803</v>
      </c>
      <c r="BG235" s="36" t="s">
        <v>112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1182</v>
      </c>
      <c r="B236" s="36" t="s">
        <v>1183</v>
      </c>
      <c r="C236" s="36" t="s">
        <v>1184</v>
      </c>
      <c r="D236" s="38">
        <v>18220.400000000001</v>
      </c>
      <c r="E236" s="38">
        <v>22220</v>
      </c>
      <c r="F236" s="39">
        <v>2606</v>
      </c>
      <c r="G236" s="36" t="s">
        <v>118</v>
      </c>
      <c r="H236" s="36" t="s">
        <v>1024</v>
      </c>
      <c r="I236" s="36" t="s">
        <v>1185</v>
      </c>
      <c r="J236" s="36" t="s">
        <v>236</v>
      </c>
      <c r="K236" s="36" t="s">
        <v>237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243</v>
      </c>
      <c r="BA236" s="47"/>
      <c r="BB236" s="36"/>
      <c r="BC236" s="36"/>
      <c r="BD236" s="36">
        <v>0</v>
      </c>
      <c r="BE236" s="36">
        <v>0</v>
      </c>
      <c r="BF236" s="36" t="s">
        <v>803</v>
      </c>
      <c r="BG236" s="36" t="s">
        <v>112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1186</v>
      </c>
      <c r="B237" s="36" t="s">
        <v>1187</v>
      </c>
      <c r="C237" s="36" t="s">
        <v>1188</v>
      </c>
      <c r="D237" s="38">
        <v>20505.740000000002</v>
      </c>
      <c r="E237" s="38">
        <v>25007</v>
      </c>
      <c r="F237" s="39">
        <v>2606</v>
      </c>
      <c r="G237" s="36" t="s">
        <v>118</v>
      </c>
      <c r="H237" s="36" t="s">
        <v>1024</v>
      </c>
      <c r="I237" s="36" t="s">
        <v>1189</v>
      </c>
      <c r="J237" s="36" t="s">
        <v>236</v>
      </c>
      <c r="K237" s="36" t="s">
        <v>237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243</v>
      </c>
      <c r="BA237" s="47"/>
      <c r="BB237" s="36"/>
      <c r="BC237" s="36"/>
      <c r="BD237" s="36">
        <v>0</v>
      </c>
      <c r="BE237" s="36">
        <v>0</v>
      </c>
      <c r="BF237" s="36" t="s">
        <v>803</v>
      </c>
      <c r="BG237" s="36" t="s">
        <v>112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1190</v>
      </c>
      <c r="B238" s="36" t="s">
        <v>1191</v>
      </c>
      <c r="C238" s="36" t="s">
        <v>1192</v>
      </c>
      <c r="D238" s="38">
        <v>10310.68</v>
      </c>
      <c r="E238" s="38">
        <v>12574</v>
      </c>
      <c r="F238" s="39">
        <v>2606</v>
      </c>
      <c r="G238" s="36" t="s">
        <v>118</v>
      </c>
      <c r="H238" s="36" t="s">
        <v>1024</v>
      </c>
      <c r="I238" s="36" t="s">
        <v>1193</v>
      </c>
      <c r="J238" s="36" t="s">
        <v>236</v>
      </c>
      <c r="K238" s="36" t="s">
        <v>237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243</v>
      </c>
      <c r="BA238" s="47"/>
      <c r="BB238" s="36"/>
      <c r="BC238" s="36"/>
      <c r="BD238" s="36">
        <v>0</v>
      </c>
      <c r="BE238" s="36">
        <v>0</v>
      </c>
      <c r="BF238" s="36" t="s">
        <v>803</v>
      </c>
      <c r="BG238" s="36" t="s">
        <v>112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1194</v>
      </c>
      <c r="B239" s="36" t="s">
        <v>1195</v>
      </c>
      <c r="C239" s="36" t="s">
        <v>1196</v>
      </c>
      <c r="D239" s="38">
        <v>19224.080000000002</v>
      </c>
      <c r="E239" s="38">
        <v>23444</v>
      </c>
      <c r="F239" s="39">
        <v>2606</v>
      </c>
      <c r="G239" s="36" t="s">
        <v>118</v>
      </c>
      <c r="H239" s="36" t="s">
        <v>1024</v>
      </c>
      <c r="I239" s="36" t="s">
        <v>1197</v>
      </c>
      <c r="J239" s="36" t="s">
        <v>236</v>
      </c>
      <c r="K239" s="36" t="s">
        <v>237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243</v>
      </c>
      <c r="BA239" s="47"/>
      <c r="BB239" s="36"/>
      <c r="BC239" s="36"/>
      <c r="BD239" s="36">
        <v>0</v>
      </c>
      <c r="BE239" s="36">
        <v>0</v>
      </c>
      <c r="BF239" s="36" t="s">
        <v>803</v>
      </c>
      <c r="BG239" s="36" t="s">
        <v>112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1198</v>
      </c>
      <c r="B240" s="36" t="s">
        <v>1199</v>
      </c>
      <c r="C240" s="36" t="s">
        <v>1200</v>
      </c>
      <c r="D240" s="38">
        <v>18740.28</v>
      </c>
      <c r="E240" s="38">
        <v>22854</v>
      </c>
      <c r="F240" s="39">
        <v>2606</v>
      </c>
      <c r="G240" s="36" t="s">
        <v>118</v>
      </c>
      <c r="H240" s="36" t="s">
        <v>1024</v>
      </c>
      <c r="I240" s="36" t="s">
        <v>1201</v>
      </c>
      <c r="J240" s="36" t="s">
        <v>236</v>
      </c>
      <c r="K240" s="36" t="s">
        <v>237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243</v>
      </c>
      <c r="BA240" s="47"/>
      <c r="BB240" s="36"/>
      <c r="BC240" s="36"/>
      <c r="BD240" s="36">
        <v>0</v>
      </c>
      <c r="BE240" s="36">
        <v>0</v>
      </c>
      <c r="BF240" s="36" t="s">
        <v>803</v>
      </c>
      <c r="BG240" s="36" t="s">
        <v>112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1202</v>
      </c>
      <c r="B241" s="36" t="s">
        <v>1203</v>
      </c>
      <c r="C241" s="36" t="s">
        <v>1204</v>
      </c>
      <c r="D241" s="38">
        <v>18112.16</v>
      </c>
      <c r="E241" s="38">
        <v>22088</v>
      </c>
      <c r="F241" s="39">
        <v>2606</v>
      </c>
      <c r="G241" s="36" t="s">
        <v>118</v>
      </c>
      <c r="H241" s="36" t="s">
        <v>1024</v>
      </c>
      <c r="I241" s="36" t="s">
        <v>1205</v>
      </c>
      <c r="J241" s="36" t="s">
        <v>236</v>
      </c>
      <c r="K241" s="36" t="s">
        <v>237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243</v>
      </c>
      <c r="BA241" s="47"/>
      <c r="BB241" s="36"/>
      <c r="BC241" s="36"/>
      <c r="BD241" s="36">
        <v>0</v>
      </c>
      <c r="BE241" s="36">
        <v>0</v>
      </c>
      <c r="BF241" s="36" t="s">
        <v>803</v>
      </c>
      <c r="BG241" s="36" t="s">
        <v>112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1206</v>
      </c>
      <c r="B242" s="36" t="s">
        <v>1207</v>
      </c>
      <c r="C242" s="36" t="s">
        <v>1208</v>
      </c>
      <c r="D242" s="38">
        <v>14942.86</v>
      </c>
      <c r="E242" s="38">
        <v>18223</v>
      </c>
      <c r="F242" s="39">
        <v>2606</v>
      </c>
      <c r="G242" s="36" t="s">
        <v>118</v>
      </c>
      <c r="H242" s="36" t="s">
        <v>1024</v>
      </c>
      <c r="I242" s="36" t="s">
        <v>1209</v>
      </c>
      <c r="J242" s="36" t="s">
        <v>236</v>
      </c>
      <c r="K242" s="36" t="s">
        <v>237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243</v>
      </c>
      <c r="BA242" s="47"/>
      <c r="BB242" s="36"/>
      <c r="BC242" s="36"/>
      <c r="BD242" s="36">
        <v>0</v>
      </c>
      <c r="BE242" s="36">
        <v>0</v>
      </c>
      <c r="BF242" s="36" t="s">
        <v>803</v>
      </c>
      <c r="BG242" s="36" t="s">
        <v>112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1210</v>
      </c>
      <c r="B243" s="36" t="s">
        <v>1211</v>
      </c>
      <c r="C243" s="36" t="s">
        <v>1212</v>
      </c>
      <c r="D243" s="38">
        <v>18740.28</v>
      </c>
      <c r="E243" s="38">
        <v>22854</v>
      </c>
      <c r="F243" s="39">
        <v>2606</v>
      </c>
      <c r="G243" s="36" t="s">
        <v>118</v>
      </c>
      <c r="H243" s="36" t="s">
        <v>1024</v>
      </c>
      <c r="I243" s="36" t="s">
        <v>1213</v>
      </c>
      <c r="J243" s="36" t="s">
        <v>236</v>
      </c>
      <c r="K243" s="36" t="s">
        <v>237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243</v>
      </c>
      <c r="BA243" s="47"/>
      <c r="BB243" s="36"/>
      <c r="BC243" s="36"/>
      <c r="BD243" s="36">
        <v>0</v>
      </c>
      <c r="BE243" s="36">
        <v>0</v>
      </c>
      <c r="BF243" s="36" t="s">
        <v>803</v>
      </c>
      <c r="BG243" s="36" t="s">
        <v>112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1214</v>
      </c>
      <c r="B244" s="36" t="s">
        <v>1215</v>
      </c>
      <c r="C244" s="36" t="s">
        <v>1216</v>
      </c>
      <c r="D244" s="38">
        <v>16303.24</v>
      </c>
      <c r="E244" s="38">
        <v>19882</v>
      </c>
      <c r="F244" s="39">
        <v>2606</v>
      </c>
      <c r="G244" s="36" t="s">
        <v>118</v>
      </c>
      <c r="H244" s="36" t="s">
        <v>1024</v>
      </c>
      <c r="I244" s="36" t="s">
        <v>1217</v>
      </c>
      <c r="J244" s="36" t="s">
        <v>236</v>
      </c>
      <c r="K244" s="36" t="s">
        <v>237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243</v>
      </c>
      <c r="BA244" s="47"/>
      <c r="BB244" s="36"/>
      <c r="BC244" s="36"/>
      <c r="BD244" s="36">
        <v>0</v>
      </c>
      <c r="BE244" s="36">
        <v>0</v>
      </c>
      <c r="BF244" s="36" t="s">
        <v>803</v>
      </c>
      <c r="BG244" s="36" t="s">
        <v>112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1218</v>
      </c>
      <c r="B245" s="36" t="s">
        <v>1219</v>
      </c>
      <c r="C245" s="36" t="s">
        <v>1220</v>
      </c>
      <c r="D245" s="38">
        <v>15447.98</v>
      </c>
      <c r="E245" s="38">
        <v>18839</v>
      </c>
      <c r="F245" s="39">
        <v>2606</v>
      </c>
      <c r="G245" s="36" t="s">
        <v>118</v>
      </c>
      <c r="H245" s="36" t="s">
        <v>1024</v>
      </c>
      <c r="I245" s="36" t="s">
        <v>1221</v>
      </c>
      <c r="J245" s="36" t="s">
        <v>236</v>
      </c>
      <c r="K245" s="36" t="s">
        <v>237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243</v>
      </c>
      <c r="BA245" s="47"/>
      <c r="BB245" s="36"/>
      <c r="BC245" s="36"/>
      <c r="BD245" s="36">
        <v>0</v>
      </c>
      <c r="BE245" s="36">
        <v>0</v>
      </c>
      <c r="BF245" s="36" t="s">
        <v>803</v>
      </c>
      <c r="BG245" s="36" t="s">
        <v>112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1222</v>
      </c>
      <c r="B246" s="36" t="s">
        <v>1223</v>
      </c>
      <c r="C246" s="36" t="s">
        <v>1224</v>
      </c>
      <c r="D246" s="38">
        <v>11260.24</v>
      </c>
      <c r="E246" s="38">
        <v>13732</v>
      </c>
      <c r="F246" s="39">
        <v>2606</v>
      </c>
      <c r="G246" s="36" t="s">
        <v>118</v>
      </c>
      <c r="H246" s="36" t="s">
        <v>1024</v>
      </c>
      <c r="I246" s="36" t="s">
        <v>1225</v>
      </c>
      <c r="J246" s="36" t="s">
        <v>236</v>
      </c>
      <c r="K246" s="36" t="s">
        <v>237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243</v>
      </c>
      <c r="BA246" s="47"/>
      <c r="BB246" s="36"/>
      <c r="BC246" s="36"/>
      <c r="BD246" s="36">
        <v>0</v>
      </c>
      <c r="BE246" s="36">
        <v>0</v>
      </c>
      <c r="BF246" s="36" t="s">
        <v>803</v>
      </c>
      <c r="BG246" s="36" t="s">
        <v>112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1226</v>
      </c>
      <c r="B247" s="36" t="s">
        <v>1227</v>
      </c>
      <c r="C247" s="36" t="s">
        <v>1228</v>
      </c>
      <c r="D247" s="38">
        <v>14404.12</v>
      </c>
      <c r="E247" s="38">
        <v>17566</v>
      </c>
      <c r="F247" s="39">
        <v>2606</v>
      </c>
      <c r="G247" s="36" t="s">
        <v>118</v>
      </c>
      <c r="H247" s="36" t="s">
        <v>1024</v>
      </c>
      <c r="I247" s="36" t="s">
        <v>1229</v>
      </c>
      <c r="J247" s="36" t="s">
        <v>236</v>
      </c>
      <c r="K247" s="36" t="s">
        <v>237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243</v>
      </c>
      <c r="BA247" s="47"/>
      <c r="BB247" s="36"/>
      <c r="BC247" s="36"/>
      <c r="BD247" s="36">
        <v>0</v>
      </c>
      <c r="BE247" s="36">
        <v>0</v>
      </c>
      <c r="BF247" s="36" t="s">
        <v>803</v>
      </c>
      <c r="BG247" s="36" t="s">
        <v>112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1230</v>
      </c>
      <c r="B248" s="36" t="s">
        <v>1231</v>
      </c>
      <c r="C248" s="36" t="s">
        <v>1232</v>
      </c>
      <c r="D248" s="38">
        <v>18740.28</v>
      </c>
      <c r="E248" s="38">
        <v>22854</v>
      </c>
      <c r="F248" s="39">
        <v>2606</v>
      </c>
      <c r="G248" s="36" t="s">
        <v>118</v>
      </c>
      <c r="H248" s="36" t="s">
        <v>1024</v>
      </c>
      <c r="I248" s="36" t="s">
        <v>1233</v>
      </c>
      <c r="J248" s="36" t="s">
        <v>236</v>
      </c>
      <c r="K248" s="36" t="s">
        <v>237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243</v>
      </c>
      <c r="BA248" s="47"/>
      <c r="BB248" s="36"/>
      <c r="BC248" s="36"/>
      <c r="BD248" s="36">
        <v>0</v>
      </c>
      <c r="BE248" s="36">
        <v>0</v>
      </c>
      <c r="BF248" s="36" t="s">
        <v>803</v>
      </c>
      <c r="BG248" s="36" t="s">
        <v>112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1234</v>
      </c>
      <c r="B249" s="36" t="s">
        <v>1235</v>
      </c>
      <c r="C249" s="36" t="s">
        <v>1236</v>
      </c>
      <c r="D249" s="38">
        <v>22898.5</v>
      </c>
      <c r="E249" s="38">
        <v>27925</v>
      </c>
      <c r="F249" s="39">
        <v>2606</v>
      </c>
      <c r="G249" s="36" t="s">
        <v>118</v>
      </c>
      <c r="H249" s="36" t="s">
        <v>1024</v>
      </c>
      <c r="I249" s="36" t="s">
        <v>1237</v>
      </c>
      <c r="J249" s="36" t="s">
        <v>236</v>
      </c>
      <c r="K249" s="36" t="s">
        <v>237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243</v>
      </c>
      <c r="BA249" s="47"/>
      <c r="BB249" s="36"/>
      <c r="BC249" s="36"/>
      <c r="BD249" s="36">
        <v>0</v>
      </c>
      <c r="BE249" s="36">
        <v>0</v>
      </c>
      <c r="BF249" s="36" t="s">
        <v>803</v>
      </c>
      <c r="BG249" s="36" t="s">
        <v>112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1238</v>
      </c>
      <c r="B250" s="36" t="s">
        <v>1239</v>
      </c>
      <c r="C250" s="36" t="s">
        <v>1240</v>
      </c>
      <c r="D250" s="38">
        <v>15873.56</v>
      </c>
      <c r="E250" s="38">
        <v>19358</v>
      </c>
      <c r="F250" s="39">
        <v>2606</v>
      </c>
      <c r="G250" s="36" t="s">
        <v>118</v>
      </c>
      <c r="H250" s="36" t="s">
        <v>1024</v>
      </c>
      <c r="I250" s="36" t="s">
        <v>1241</v>
      </c>
      <c r="J250" s="36" t="s">
        <v>236</v>
      </c>
      <c r="K250" s="36" t="s">
        <v>237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243</v>
      </c>
      <c r="BA250" s="47"/>
      <c r="BB250" s="36"/>
      <c r="BC250" s="36"/>
      <c r="BD250" s="36">
        <v>0</v>
      </c>
      <c r="BE250" s="36">
        <v>0</v>
      </c>
      <c r="BF250" s="36" t="s">
        <v>803</v>
      </c>
      <c r="BG250" s="36" t="s">
        <v>112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1242</v>
      </c>
      <c r="B251" s="36" t="s">
        <v>1243</v>
      </c>
      <c r="C251" s="36" t="s">
        <v>1244</v>
      </c>
      <c r="D251" s="38">
        <v>20763.22</v>
      </c>
      <c r="E251" s="38">
        <v>25321</v>
      </c>
      <c r="F251" s="39">
        <v>2606</v>
      </c>
      <c r="G251" s="36" t="s">
        <v>118</v>
      </c>
      <c r="H251" s="36" t="s">
        <v>1024</v>
      </c>
      <c r="I251" s="36" t="s">
        <v>1245</v>
      </c>
      <c r="J251" s="36" t="s">
        <v>236</v>
      </c>
      <c r="K251" s="36" t="s">
        <v>237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243</v>
      </c>
      <c r="BA251" s="47"/>
      <c r="BB251" s="36"/>
      <c r="BC251" s="36"/>
      <c r="BD251" s="36">
        <v>0</v>
      </c>
      <c r="BE251" s="36">
        <v>0</v>
      </c>
      <c r="BF251" s="36" t="s">
        <v>803</v>
      </c>
      <c r="BG251" s="36" t="s">
        <v>112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1246</v>
      </c>
      <c r="B252" s="36" t="s">
        <v>1247</v>
      </c>
      <c r="C252" s="36" t="s">
        <v>1248</v>
      </c>
      <c r="D252" s="38">
        <v>14851.84</v>
      </c>
      <c r="E252" s="38">
        <v>18112</v>
      </c>
      <c r="F252" s="39">
        <v>2606</v>
      </c>
      <c r="G252" s="36" t="s">
        <v>118</v>
      </c>
      <c r="H252" s="36" t="s">
        <v>1024</v>
      </c>
      <c r="I252" s="36" t="s">
        <v>1249</v>
      </c>
      <c r="J252" s="36" t="s">
        <v>236</v>
      </c>
      <c r="K252" s="36" t="s">
        <v>237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243</v>
      </c>
      <c r="BA252" s="47"/>
      <c r="BB252" s="36"/>
      <c r="BC252" s="36"/>
      <c r="BD252" s="36">
        <v>0</v>
      </c>
      <c r="BE252" s="36">
        <v>0</v>
      </c>
      <c r="BF252" s="36" t="s">
        <v>803</v>
      </c>
      <c r="BG252" s="36" t="s">
        <v>112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1250</v>
      </c>
      <c r="B253" s="36" t="s">
        <v>1251</v>
      </c>
      <c r="C253" s="36" t="s">
        <v>1252</v>
      </c>
      <c r="D253" s="38">
        <v>21473.34</v>
      </c>
      <c r="E253" s="38">
        <v>26187</v>
      </c>
      <c r="F253" s="39">
        <v>2606</v>
      </c>
      <c r="G253" s="36" t="s">
        <v>118</v>
      </c>
      <c r="H253" s="36" t="s">
        <v>1024</v>
      </c>
      <c r="I253" s="36" t="s">
        <v>1253</v>
      </c>
      <c r="J253" s="36" t="s">
        <v>236</v>
      </c>
      <c r="K253" s="36" t="s">
        <v>237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243</v>
      </c>
      <c r="BA253" s="47"/>
      <c r="BB253" s="36"/>
      <c r="BC253" s="36"/>
      <c r="BD253" s="36">
        <v>0</v>
      </c>
      <c r="BE253" s="36">
        <v>0</v>
      </c>
      <c r="BF253" s="36" t="s">
        <v>803</v>
      </c>
      <c r="BG253" s="36" t="s">
        <v>112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1254</v>
      </c>
      <c r="B254" s="36" t="s">
        <v>1255</v>
      </c>
      <c r="C254" s="36" t="s">
        <v>1256</v>
      </c>
      <c r="D254" s="38">
        <v>14851.84</v>
      </c>
      <c r="E254" s="38">
        <v>18112</v>
      </c>
      <c r="F254" s="39">
        <v>2606</v>
      </c>
      <c r="G254" s="36" t="s">
        <v>118</v>
      </c>
      <c r="H254" s="36" t="s">
        <v>1024</v>
      </c>
      <c r="I254" s="36" t="s">
        <v>1257</v>
      </c>
      <c r="J254" s="36" t="s">
        <v>236</v>
      </c>
      <c r="K254" s="36" t="s">
        <v>237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243</v>
      </c>
      <c r="BA254" s="47"/>
      <c r="BB254" s="36"/>
      <c r="BC254" s="36"/>
      <c r="BD254" s="36">
        <v>0</v>
      </c>
      <c r="BE254" s="36">
        <v>0</v>
      </c>
      <c r="BF254" s="36" t="s">
        <v>803</v>
      </c>
      <c r="BG254" s="36" t="s">
        <v>112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1258</v>
      </c>
      <c r="B255" s="36" t="s">
        <v>1259</v>
      </c>
      <c r="C255" s="36" t="s">
        <v>1260</v>
      </c>
      <c r="D255" s="38">
        <v>18740.28</v>
      </c>
      <c r="E255" s="38">
        <v>22854</v>
      </c>
      <c r="F255" s="39">
        <v>2606</v>
      </c>
      <c r="G255" s="36" t="s">
        <v>118</v>
      </c>
      <c r="H255" s="36" t="s">
        <v>1024</v>
      </c>
      <c r="I255" s="36" t="s">
        <v>1261</v>
      </c>
      <c r="J255" s="36" t="s">
        <v>236</v>
      </c>
      <c r="K255" s="36" t="s">
        <v>237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243</v>
      </c>
      <c r="BA255" s="47"/>
      <c r="BB255" s="36"/>
      <c r="BC255" s="36"/>
      <c r="BD255" s="36">
        <v>0</v>
      </c>
      <c r="BE255" s="36">
        <v>0</v>
      </c>
      <c r="BF255" s="36" t="s">
        <v>803</v>
      </c>
      <c r="BG255" s="36" t="s">
        <v>112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1262</v>
      </c>
      <c r="B256" s="36" t="s">
        <v>1263</v>
      </c>
      <c r="C256" s="36" t="s">
        <v>1264</v>
      </c>
      <c r="D256" s="38">
        <v>22223.64</v>
      </c>
      <c r="E256" s="38">
        <v>27102</v>
      </c>
      <c r="F256" s="39">
        <v>2606</v>
      </c>
      <c r="G256" s="36" t="s">
        <v>118</v>
      </c>
      <c r="H256" s="36" t="s">
        <v>1024</v>
      </c>
      <c r="I256" s="36" t="s">
        <v>411</v>
      </c>
      <c r="J256" s="36" t="s">
        <v>236</v>
      </c>
      <c r="K256" s="36" t="s">
        <v>237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243</v>
      </c>
      <c r="BA256" s="47"/>
      <c r="BB256" s="36"/>
      <c r="BC256" s="36"/>
      <c r="BD256" s="36">
        <v>0</v>
      </c>
      <c r="BE256" s="36">
        <v>0</v>
      </c>
      <c r="BF256" s="36" t="s">
        <v>803</v>
      </c>
      <c r="BG256" s="36" t="s">
        <v>112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1265</v>
      </c>
      <c r="B257" s="36" t="s">
        <v>1266</v>
      </c>
      <c r="C257" s="36" t="s">
        <v>1267</v>
      </c>
      <c r="D257" s="38">
        <v>16321.28</v>
      </c>
      <c r="E257" s="38">
        <v>19904</v>
      </c>
      <c r="F257" s="39">
        <v>2606</v>
      </c>
      <c r="G257" s="36" t="s">
        <v>118</v>
      </c>
      <c r="H257" s="36" t="s">
        <v>1024</v>
      </c>
      <c r="I257" s="36" t="s">
        <v>1268</v>
      </c>
      <c r="J257" s="36" t="s">
        <v>236</v>
      </c>
      <c r="K257" s="36" t="s">
        <v>237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243</v>
      </c>
      <c r="BA257" s="47"/>
      <c r="BB257" s="36"/>
      <c r="BC257" s="36"/>
      <c r="BD257" s="36">
        <v>0</v>
      </c>
      <c r="BE257" s="36">
        <v>0</v>
      </c>
      <c r="BF257" s="36" t="s">
        <v>803</v>
      </c>
      <c r="BG257" s="36" t="s">
        <v>112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1269</v>
      </c>
      <c r="B258" s="36" t="s">
        <v>1270</v>
      </c>
      <c r="C258" s="36" t="s">
        <v>1271</v>
      </c>
      <c r="D258" s="38">
        <v>19311.82</v>
      </c>
      <c r="E258" s="38">
        <v>23551</v>
      </c>
      <c r="F258" s="39">
        <v>2606</v>
      </c>
      <c r="G258" s="36" t="s">
        <v>118</v>
      </c>
      <c r="H258" s="36" t="s">
        <v>1024</v>
      </c>
      <c r="I258" s="36" t="s">
        <v>1272</v>
      </c>
      <c r="J258" s="36" t="s">
        <v>236</v>
      </c>
      <c r="K258" s="36" t="s">
        <v>237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243</v>
      </c>
      <c r="BA258" s="47"/>
      <c r="BB258" s="36"/>
      <c r="BC258" s="36"/>
      <c r="BD258" s="36">
        <v>0</v>
      </c>
      <c r="BE258" s="36">
        <v>0</v>
      </c>
      <c r="BF258" s="36" t="s">
        <v>803</v>
      </c>
      <c r="BG258" s="36" t="s">
        <v>112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1273</v>
      </c>
      <c r="B259" s="36" t="s">
        <v>1274</v>
      </c>
      <c r="C259" s="36" t="s">
        <v>1275</v>
      </c>
      <c r="D259" s="38">
        <v>16820.66</v>
      </c>
      <c r="E259" s="38">
        <v>20513</v>
      </c>
      <c r="F259" s="39">
        <v>2606</v>
      </c>
      <c r="G259" s="36" t="s">
        <v>118</v>
      </c>
      <c r="H259" s="36" t="s">
        <v>1024</v>
      </c>
      <c r="I259" s="36" t="s">
        <v>1276</v>
      </c>
      <c r="J259" s="36" t="s">
        <v>236</v>
      </c>
      <c r="K259" s="36" t="s">
        <v>237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243</v>
      </c>
      <c r="BA259" s="47"/>
      <c r="BB259" s="36"/>
      <c r="BC259" s="36"/>
      <c r="BD259" s="36">
        <v>0</v>
      </c>
      <c r="BE259" s="36">
        <v>0</v>
      </c>
      <c r="BF259" s="36" t="s">
        <v>803</v>
      </c>
      <c r="BG259" s="36" t="s">
        <v>112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1277</v>
      </c>
      <c r="C260" s="36" t="s">
        <v>1278</v>
      </c>
      <c r="D260" s="38"/>
      <c r="E260" s="38"/>
      <c r="F260" s="39"/>
      <c r="G260" s="36" t="s">
        <v>111</v>
      </c>
      <c r="H260" s="36" t="s">
        <v>1097</v>
      </c>
      <c r="I260" s="36" t="s">
        <v>1279</v>
      </c>
      <c r="J260" s="36" t="s">
        <v>236</v>
      </c>
      <c r="K260" s="36" t="s">
        <v>237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243</v>
      </c>
      <c r="BA260" s="47"/>
      <c r="BB260" s="36"/>
      <c r="BC260" s="36"/>
      <c r="BD260" s="36">
        <v>0</v>
      </c>
      <c r="BE260" s="36">
        <v>0</v>
      </c>
      <c r="BF260" s="36" t="s">
        <v>803</v>
      </c>
      <c r="BG260" s="36" t="s">
        <v>112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1383</v>
      </c>
      <c r="B261" s="36" t="s">
        <v>1280</v>
      </c>
      <c r="C261" s="36" t="s">
        <v>1281</v>
      </c>
      <c r="D261" s="38"/>
      <c r="E261" s="38"/>
      <c r="F261" s="39"/>
      <c r="G261" s="36" t="s">
        <v>111</v>
      </c>
      <c r="H261" s="36" t="s">
        <v>1097</v>
      </c>
      <c r="I261" s="36" t="s">
        <v>1282</v>
      </c>
      <c r="J261" s="36" t="s">
        <v>236</v>
      </c>
      <c r="K261" s="36" t="s">
        <v>237</v>
      </c>
      <c r="L261" s="40">
        <v>46212</v>
      </c>
      <c r="M261" s="40">
        <v>46213</v>
      </c>
      <c r="N261" s="41">
        <v>46213</v>
      </c>
      <c r="O261" s="36" t="s">
        <v>417</v>
      </c>
      <c r="P261" s="41" t="s">
        <v>239</v>
      </c>
      <c r="Q261" s="36" t="s">
        <v>240</v>
      </c>
      <c r="R261" s="36" t="s">
        <v>48</v>
      </c>
      <c r="S261" s="36" t="s">
        <v>1107</v>
      </c>
      <c r="T261" s="36" t="s">
        <v>1376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243</v>
      </c>
      <c r="BA261" s="47"/>
      <c r="BB261" s="36"/>
      <c r="BC261" s="36"/>
      <c r="BD261" s="36"/>
      <c r="BE261" s="36"/>
      <c r="BF261" s="36" t="s">
        <v>244</v>
      </c>
      <c r="BG261" s="36" t="s">
        <v>112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1384</v>
      </c>
      <c r="B262" s="36" t="s">
        <v>1283</v>
      </c>
      <c r="C262" s="36" t="s">
        <v>1284</v>
      </c>
      <c r="D262" s="38"/>
      <c r="E262" s="38"/>
      <c r="F262" s="39"/>
      <c r="G262" s="36" t="s">
        <v>111</v>
      </c>
      <c r="H262" s="36" t="s">
        <v>1097</v>
      </c>
      <c r="I262" s="36" t="s">
        <v>1285</v>
      </c>
      <c r="J262" s="36" t="s">
        <v>236</v>
      </c>
      <c r="K262" s="36" t="s">
        <v>237</v>
      </c>
      <c r="L262" s="40">
        <v>46214</v>
      </c>
      <c r="M262" s="40">
        <v>46215</v>
      </c>
      <c r="N262" s="41">
        <v>46215</v>
      </c>
      <c r="O262" s="36" t="s">
        <v>417</v>
      </c>
      <c r="P262" s="41" t="s">
        <v>239</v>
      </c>
      <c r="Q262" s="36" t="s">
        <v>240</v>
      </c>
      <c r="R262" s="36" t="s">
        <v>48</v>
      </c>
      <c r="S262" s="36" t="s">
        <v>1107</v>
      </c>
      <c r="T262" s="36" t="s">
        <v>1376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243</v>
      </c>
      <c r="BA262" s="47"/>
      <c r="BB262" s="36"/>
      <c r="BC262" s="36"/>
      <c r="BD262" s="36"/>
      <c r="BE262" s="36"/>
      <c r="BF262" s="36" t="s">
        <v>244</v>
      </c>
      <c r="BG262" s="36" t="s">
        <v>112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1286</v>
      </c>
      <c r="C263" s="36" t="s">
        <v>1287</v>
      </c>
      <c r="D263" s="38"/>
      <c r="E263" s="38"/>
      <c r="F263" s="39"/>
      <c r="G263" s="36" t="s">
        <v>111</v>
      </c>
      <c r="H263" s="36" t="s">
        <v>1097</v>
      </c>
      <c r="I263" s="36" t="s">
        <v>1288</v>
      </c>
      <c r="J263" s="36" t="s">
        <v>236</v>
      </c>
      <c r="K263" s="36" t="s">
        <v>237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243</v>
      </c>
      <c r="BA263" s="47"/>
      <c r="BB263" s="36"/>
      <c r="BC263" s="36"/>
      <c r="BD263" s="36">
        <v>0</v>
      </c>
      <c r="BE263" s="36">
        <v>0</v>
      </c>
      <c r="BF263" s="36" t="s">
        <v>803</v>
      </c>
      <c r="BG263" s="36" t="s">
        <v>112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topLeftCell="E1" workbookViewId="0">
      <selection activeCell="T26" sqref="T26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1335</v>
      </c>
      <c r="C2" t="s">
        <v>1289</v>
      </c>
      <c r="Q2" s="68" t="s">
        <v>174</v>
      </c>
      <c r="R2" t="s">
        <v>236</v>
      </c>
    </row>
    <row r="3" spans="2:20" x14ac:dyDescent="0.25">
      <c r="C3" s="79" t="s">
        <v>1290</v>
      </c>
      <c r="F3" t="s">
        <v>1291</v>
      </c>
      <c r="I3" s="79" t="s">
        <v>1292</v>
      </c>
      <c r="L3" t="s">
        <v>1293</v>
      </c>
      <c r="M3" t="s">
        <v>1294</v>
      </c>
      <c r="N3" s="79" t="s">
        <v>1295</v>
      </c>
      <c r="Q3" t="s">
        <v>222</v>
      </c>
      <c r="R3" t="s">
        <v>1296</v>
      </c>
    </row>
    <row r="4" spans="2:20" x14ac:dyDescent="0.25">
      <c r="B4" t="s">
        <v>1297</v>
      </c>
      <c r="C4" t="s">
        <v>1298</v>
      </c>
      <c r="D4" t="s">
        <v>1299</v>
      </c>
      <c r="E4" s="79" t="s">
        <v>1300</v>
      </c>
      <c r="F4" t="s">
        <v>1298</v>
      </c>
      <c r="G4" t="s">
        <v>1299</v>
      </c>
      <c r="H4" t="s">
        <v>1300</v>
      </c>
      <c r="I4" t="s">
        <v>1298</v>
      </c>
      <c r="J4" t="s">
        <v>1299</v>
      </c>
      <c r="K4" s="79" t="s">
        <v>1300</v>
      </c>
    </row>
    <row r="5" spans="2:20" x14ac:dyDescent="0.25">
      <c r="B5" t="s">
        <v>1301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1300</v>
      </c>
      <c r="R5" t="s">
        <v>1289</v>
      </c>
    </row>
    <row r="6" spans="2:20" x14ac:dyDescent="0.25">
      <c r="B6" t="s">
        <v>1302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1297</v>
      </c>
      <c r="R6" t="s">
        <v>243</v>
      </c>
      <c r="S6" t="s">
        <v>1303</v>
      </c>
      <c r="T6" t="s">
        <v>1304</v>
      </c>
    </row>
    <row r="7" spans="2:20" x14ac:dyDescent="0.25">
      <c r="B7" t="s">
        <v>1305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1306</v>
      </c>
      <c r="S7">
        <v>1605916</v>
      </c>
      <c r="T7">
        <v>1605916</v>
      </c>
    </row>
    <row r="8" spans="2:20" x14ac:dyDescent="0.25">
      <c r="B8" t="s">
        <v>1307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1308</v>
      </c>
      <c r="S8">
        <v>1605916</v>
      </c>
      <c r="T8">
        <v>1605916</v>
      </c>
    </row>
    <row r="9" spans="2:20" x14ac:dyDescent="0.25">
      <c r="B9" t="s">
        <v>1308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1309</v>
      </c>
      <c r="R9">
        <v>366157.36</v>
      </c>
      <c r="S9">
        <v>232262.96000000002</v>
      </c>
      <c r="T9">
        <v>598420.32000000007</v>
      </c>
    </row>
    <row r="10" spans="2:20" x14ac:dyDescent="0.25">
      <c r="B10" t="s">
        <v>1304</v>
      </c>
      <c r="C10">
        <v>98</v>
      </c>
      <c r="D10">
        <v>513834</v>
      </c>
      <c r="E10" s="79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79">
        <v>2163172</v>
      </c>
      <c r="L10">
        <v>18669</v>
      </c>
      <c r="M10">
        <v>46126843.870000027</v>
      </c>
      <c r="N10" s="79">
        <v>2468597.1</v>
      </c>
      <c r="Q10" t="s">
        <v>1302</v>
      </c>
      <c r="R10">
        <v>145681.17000000001</v>
      </c>
      <c r="T10">
        <v>145681.17000000001</v>
      </c>
    </row>
    <row r="11" spans="2:20" x14ac:dyDescent="0.25">
      <c r="Q11" t="s">
        <v>1305</v>
      </c>
      <c r="R11">
        <v>69424.33</v>
      </c>
      <c r="T11">
        <v>69424.33</v>
      </c>
    </row>
    <row r="12" spans="2:20" x14ac:dyDescent="0.25">
      <c r="B12" s="79" t="s">
        <v>1355</v>
      </c>
      <c r="C12" t="s">
        <v>1289</v>
      </c>
      <c r="Q12" t="s">
        <v>1307</v>
      </c>
      <c r="R12">
        <v>132175.70000000001</v>
      </c>
      <c r="T12">
        <v>132175.70000000001</v>
      </c>
    </row>
    <row r="13" spans="2:20" x14ac:dyDescent="0.25">
      <c r="C13" s="79" t="s">
        <v>1290</v>
      </c>
      <c r="F13" t="s">
        <v>1291</v>
      </c>
      <c r="I13" s="79" t="s">
        <v>1292</v>
      </c>
      <c r="L13" t="s">
        <v>1293</v>
      </c>
      <c r="M13" t="s">
        <v>1294</v>
      </c>
      <c r="N13" s="79" t="s">
        <v>1295</v>
      </c>
      <c r="Q13" t="s">
        <v>1308</v>
      </c>
      <c r="R13">
        <v>18876.16</v>
      </c>
      <c r="S13">
        <v>232262.96000000002</v>
      </c>
      <c r="T13">
        <v>251139.12000000002</v>
      </c>
    </row>
    <row r="14" spans="2:20" x14ac:dyDescent="0.25">
      <c r="B14" t="s">
        <v>1297</v>
      </c>
      <c r="C14" t="s">
        <v>1298</v>
      </c>
      <c r="D14" t="s">
        <v>1299</v>
      </c>
      <c r="E14" s="79" t="s">
        <v>1300</v>
      </c>
      <c r="F14" t="s">
        <v>1298</v>
      </c>
      <c r="G14" t="s">
        <v>1299</v>
      </c>
      <c r="H14" t="s">
        <v>1300</v>
      </c>
      <c r="I14" t="s">
        <v>1298</v>
      </c>
      <c r="J14" t="s">
        <v>1299</v>
      </c>
      <c r="K14" s="79" t="s">
        <v>1300</v>
      </c>
      <c r="Q14" t="s">
        <v>1385</v>
      </c>
      <c r="R14">
        <v>67811.759999999966</v>
      </c>
      <c r="T14">
        <v>67811.759999999966</v>
      </c>
    </row>
    <row r="15" spans="2:20" x14ac:dyDescent="0.25">
      <c r="B15" t="s">
        <v>1301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1307</v>
      </c>
      <c r="R15">
        <v>15779.399999999996</v>
      </c>
      <c r="T15">
        <v>15779.399999999996</v>
      </c>
    </row>
    <row r="16" spans="2:20" x14ac:dyDescent="0.25">
      <c r="B16" t="s">
        <v>1302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1308</v>
      </c>
      <c r="R16">
        <v>52032.359999999971</v>
      </c>
      <c r="T16">
        <v>52032.359999999971</v>
      </c>
    </row>
    <row r="17" spans="2:20" x14ac:dyDescent="0.25">
      <c r="B17" t="s">
        <v>1305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1386</v>
      </c>
      <c r="R17">
        <v>64299.000000000036</v>
      </c>
      <c r="T17">
        <v>64299.000000000036</v>
      </c>
    </row>
    <row r="18" spans="2:20" x14ac:dyDescent="0.25">
      <c r="B18" t="s">
        <v>1307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1308</v>
      </c>
      <c r="R18">
        <v>64299.000000000036</v>
      </c>
      <c r="T18">
        <v>64299.000000000036</v>
      </c>
    </row>
    <row r="19" spans="2:20" x14ac:dyDescent="0.25">
      <c r="B19" t="s">
        <v>1308</v>
      </c>
      <c r="C19">
        <v>92</v>
      </c>
      <c r="D19">
        <v>304683</v>
      </c>
      <c r="E19">
        <v>93424.46000000005</v>
      </c>
      <c r="F19">
        <v>933</v>
      </c>
      <c r="G19">
        <v>1839043.4</v>
      </c>
      <c r="H19">
        <v>114447.4200000003</v>
      </c>
      <c r="I19">
        <v>615</v>
      </c>
      <c r="J19">
        <v>1746915</v>
      </c>
      <c r="K19">
        <v>1746915</v>
      </c>
      <c r="L19">
        <v>1640</v>
      </c>
      <c r="M19">
        <v>3890641.4</v>
      </c>
      <c r="N19">
        <v>1954786.8800000001</v>
      </c>
      <c r="Q19" t="s">
        <v>1304</v>
      </c>
      <c r="R19">
        <v>498268.12000000005</v>
      </c>
      <c r="S19">
        <v>1838178.96</v>
      </c>
      <c r="T19">
        <v>2336447.0799999996</v>
      </c>
    </row>
    <row r="20" spans="2:20" x14ac:dyDescent="0.25">
      <c r="B20" t="s">
        <v>1304</v>
      </c>
      <c r="C20">
        <v>115</v>
      </c>
      <c r="D20">
        <v>562533</v>
      </c>
      <c r="E20" s="79">
        <v>162047.95999999996</v>
      </c>
      <c r="F20">
        <v>17900</v>
      </c>
      <c r="G20">
        <v>43596222.870000236</v>
      </c>
      <c r="H20">
        <v>158495.52000000028</v>
      </c>
      <c r="I20">
        <v>664</v>
      </c>
      <c r="J20">
        <v>1997304</v>
      </c>
      <c r="K20" s="79">
        <v>1997304</v>
      </c>
      <c r="L20">
        <v>18679</v>
      </c>
      <c r="M20">
        <v>46156059.870000027</v>
      </c>
      <c r="N20" s="79">
        <v>2317847.48</v>
      </c>
    </row>
    <row r="25" spans="2:20" x14ac:dyDescent="0.25">
      <c r="Q25">
        <v>2023</v>
      </c>
      <c r="R25">
        <f>R20</f>
        <v>0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0</v>
      </c>
    </row>
    <row r="28" spans="2:20" x14ac:dyDescent="0.25">
      <c r="Q28">
        <v>2026</v>
      </c>
      <c r="R28">
        <f>R22</f>
        <v>0</v>
      </c>
    </row>
    <row r="30" spans="2:20" x14ac:dyDescent="0.25">
      <c r="Q30">
        <v>2023</v>
      </c>
      <c r="R30">
        <f>R10</f>
        <v>145681.17000000001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f t="shared" ref="R32:R33" si="0">R12</f>
        <v>132175.70000000001</v>
      </c>
    </row>
    <row r="33" spans="17:18" x14ac:dyDescent="0.25">
      <c r="Q33">
        <v>2026</v>
      </c>
      <c r="R33">
        <f t="shared" si="0"/>
        <v>18876.16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2026-07-14T01:12:11Z</dcterms:modified>
</cp:coreProperties>
</file>