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0_Agent\0_Dashboad\"/>
    </mc:Choice>
  </mc:AlternateContent>
  <xr:revisionPtr revIDLastSave="0" documentId="13_ncr:1_{02797ED5-655D-4D07-AB94-E584CFF244FB}" xr6:coauthVersionLast="47" xr6:coauthVersionMax="47" xr10:uidLastSave="{00000000-0000-0000-0000-000000000000}"/>
  <bookViews>
    <workbookView xWindow="-120" yWindow="-120" windowWidth="29040" windowHeight="15720" tabRatio="748" activeTab="8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7 - SLA On-Process AIS" sheetId="7" r:id="rId6"/>
    <sheet name="Part 7 - SLA On-Process TRUE" sheetId="6" r:id="rId7"/>
    <sheet name="2026" sheetId="8" r:id="rId8"/>
    <sheet name="Sheet1" sheetId="9" r:id="rId9"/>
  </sheets>
  <definedNames>
    <definedName name="_xlnm._FilterDatabase" localSheetId="7" hidden="1">'2026'!$A$3:$BP$334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45" i="8" l="1"/>
  <c r="BP444" i="8"/>
  <c r="BP443" i="8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43" i="4"/>
  <c r="D40" i="4"/>
  <c r="D39" i="4"/>
  <c r="D38" i="4"/>
  <c r="D37" i="4"/>
  <c r="D36" i="4"/>
  <c r="D35" i="4"/>
  <c r="D34" i="4"/>
  <c r="D33" i="4"/>
  <c r="D41" i="4" s="1"/>
  <c r="D27" i="4"/>
  <c r="D24" i="4"/>
  <c r="D23" i="4"/>
  <c r="D20" i="4"/>
  <c r="D19" i="4"/>
  <c r="D18" i="4"/>
  <c r="D22" i="4" s="1"/>
  <c r="D17" i="4"/>
  <c r="D7" i="4"/>
  <c r="D6" i="4"/>
  <c r="D4" i="4"/>
  <c r="D3" i="4"/>
  <c r="D2" i="4"/>
  <c r="D5" i="4" s="1"/>
  <c r="F8" i="3"/>
  <c r="E8" i="3"/>
  <c r="D8" i="3"/>
  <c r="F7" i="3"/>
  <c r="E7" i="3"/>
  <c r="D7" i="3"/>
  <c r="F6" i="3"/>
  <c r="F5" i="3"/>
  <c r="F4" i="3"/>
  <c r="D10" i="2"/>
  <c r="D5" i="2"/>
  <c r="D4" i="1" s="1"/>
  <c r="D4" i="2"/>
  <c r="D3" i="2"/>
  <c r="D9" i="2" l="1"/>
  <c r="D28" i="4"/>
  <c r="D32" i="4"/>
  <c r="D31" i="4"/>
  <c r="D29" i="4"/>
  <c r="D30" i="4"/>
  <c r="D3" i="1"/>
  <c r="D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Windows 11:
Supply and installation of Single antenna mounting and accessory-AIS =1 set</t>
        </r>
      </text>
    </comment>
    <comment ref="Z8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27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37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50" authorId="0" shapeId="0" xr:uid="{00000000-0006-0000-0700-000005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71" authorId="0" shapeId="0" xr:uid="{00000000-0006-0000-0700-000006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</commentList>
</comments>
</file>

<file path=xl/sharedStrings.xml><?xml version="1.0" encoding="utf-8"?>
<sst xmlns="http://schemas.openxmlformats.org/spreadsheetml/2006/main" count="7151" uniqueCount="1658">
  <si>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</si>
  <si>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</si>
  <si>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</si>
  <si>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</si>
  <si>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</si>
  <si>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</si>
  <si>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</si>
  <si>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</si>
  <si>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</si>
  <si>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</si>
  <si>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</si>
  <si>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</si>
  <si>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</si>
  <si>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2</t>
  </si>
  <si>
    <t>Portfolio Performance Snapshot</t>
  </si>
  <si>
    <t>Overall Progress</t>
  </si>
  <si>
    <t>สัดส่วนของ HAE และ TME ในพอร์ตโฟลิโอทั้งหมด</t>
  </si>
  <si>
    <t>Smart QC Overview</t>
  </si>
  <si>
    <t>Pass Rate</t>
  </si>
  <si>
    <t/>
  </si>
  <si>
    <t>อัตราการผ่านการตรวจสอบคุณภาพเปรียบเทียบสองโครงการ</t>
  </si>
  <si>
    <t>Operation Error &amp; Defect Analysis</t>
  </si>
  <si>
    <t>Defect Issue 1</t>
  </si>
  <si>
    <t>การขาดอุปกรณ์ป้องกัน PPE / ส่งข้อมูลไม่ครบ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</si>
  <si>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</si>
  <si>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</si>
  <si>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</si>
  <si>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</si>
  <si>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</si>
  <si>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</si>
  <si>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3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</si>
  <si>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</si>
  <si>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</si>
  <si>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</si>
  <si>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4</t>
  </si>
  <si>
    <t>1st Milestone AGING Analysis (HAE-MBB)</t>
  </si>
  <si>
    <t>HAE M1</t>
  </si>
  <si>
    <t>เปรียบเทียบระยะเวลาปิด M1 (HAE-MBB)</t>
  </si>
  <si>
    <t>HAE-MBB</t>
  </si>
  <si>
    <t>2nd Milestone AGING Analysis (HAE-MBB)</t>
  </si>
  <si>
    <t>HAE M2</t>
  </si>
  <si>
    <t>ความท้าทายในการปิดเอกสาร M2 ที่กินระยะเวลานาน (HAE-MBB)</t>
  </si>
  <si>
    <t>Slide 5</t>
  </si>
  <si>
    <t>1st Milestone AGING Analysis (TME-MBB)</t>
  </si>
  <si>
    <t>TME M1</t>
  </si>
  <si>
    <t>เปรียบเทียบระยะเวลาปิด M1(TME-MBB)</t>
  </si>
  <si>
    <t>TME-MBB</t>
  </si>
  <si>
    <t>2nd Milestone AGING Analysis (TME-IPRAN)</t>
  </si>
  <si>
    <t>TME M2</t>
  </si>
  <si>
    <t>ความท้าทายในการปิดเอกสาร M2 ที่กินระยะเวลานาน (TME-IPRAN)</t>
  </si>
  <si>
    <t>TME-IPRAN</t>
  </si>
  <si>
    <t>2nd Milestone AGING Analysis (TME-MBB)</t>
  </si>
  <si>
    <t>ความท้าทายในการปิดเอกสาร M2 ที่กินระยะเวลานาน (TME-MBB)</t>
  </si>
  <si>
    <t>Slide 6</t>
  </si>
  <si>
    <t>Performance by PE Owner: Adisak (Average M1+M2)</t>
  </si>
  <si>
    <t>Adisak Chanmao (Average M1+M2)</t>
  </si>
  <si>
    <t>Performance by PE Owner: Palagon (Average M1+M2)</t>
  </si>
  <si>
    <t>Palagon Prommueangma (Average M1+M2)</t>
  </si>
  <si>
    <t>Slide 7</t>
  </si>
  <si>
    <t>Performance by PE Owner: Palagon (HAE)</t>
  </si>
  <si>
    <t>Performance by PE Owner: Palagon (TME)</t>
  </si>
  <si>
    <t>Palagon Prommueangma ((Average M1+M2)</t>
  </si>
  <si>
    <t>Owner / Type</t>
  </si>
  <si>
    <t>Amount (THB)</t>
  </si>
  <si>
    <t>Done (THB)</t>
  </si>
  <si>
    <t>Avg Aging</t>
  </si>
  <si>
    <t>Slide 8</t>
  </si>
  <si>
    <t>จำนวนงานติดตั้ง Completed WEEK 34</t>
  </si>
  <si>
    <t>Overall Team Install WK35</t>
  </si>
  <si>
    <t>Slide 9</t>
  </si>
  <si>
    <t>DOC Owner: Hathairat Singkaew</t>
  </si>
  <si>
    <t>Hathairat (MBB/HAE)</t>
  </si>
  <si>
    <t>จำนวนงานที่ค้างส่งและ Aging เฉลี่ย</t>
  </si>
  <si>
    <t>DOC Owner: Sermsiri Bampentam</t>
  </si>
  <si>
    <t>Sermsiri (IPRAN/TME)</t>
  </si>
  <si>
    <t>เจาะลึกงาน IPRAN/TME</t>
  </si>
  <si>
    <t>DOC Owner: Apichart Kampuang</t>
  </si>
  <si>
    <t>Apichart (MBB/HAE)</t>
  </si>
  <si>
    <t>ภาพรวมงาน MBB/HAE</t>
  </si>
  <si>
    <t>Slide 10</t>
  </si>
  <si>
    <t>Acceptance AC#1 Performance</t>
  </si>
  <si>
    <t>AC#1 (JAN-DEC)</t>
  </si>
  <si>
    <t>Acceptance AC#2 Performance</t>
  </si>
  <si>
    <t>AC#2 (JAN-DEC)</t>
  </si>
  <si>
    <t>Slide 11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</si>
  <si>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</si>
  <si>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</si>
  <si>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</si>
  <si>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</si>
  <si>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</si>
  <si>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12</t>
  </si>
  <si>
    <t>Financial Health Overview</t>
  </si>
  <si>
    <t>Estimate Final Income</t>
  </si>
  <si>
    <t>ภาพรวมรายได้ประมาณการ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</si>
  <si>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</si>
  <si>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</si>
  <si>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</si>
  <si>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</si>
  <si>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</si>
  <si>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</si>
  <si>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</si>
  <si>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</si>
  <si>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Slide 13</t>
  </si>
  <si>
    <t>เปรียบเทียบเป้าหมายการเก็บเงินระหว่างสัปดาห์</t>
  </si>
  <si>
    <t>Backlog Week 35</t>
  </si>
  <si>
    <t>กราฟเส้นแนวโน้มยอดคงค้าง</t>
  </si>
  <si>
    <t>Slide 14</t>
  </si>
  <si>
    <t>Actual Acceptance WK32</t>
  </si>
  <si>
    <t>ยอด Actual Acceptance WK32</t>
  </si>
  <si>
    <t>Actual Acceptance WK33</t>
  </si>
  <si>
    <t>ยอด Actual Acceptance WK33</t>
  </si>
  <si>
    <t>Actual Acceptance WK34</t>
  </si>
  <si>
    <t>ยอด Actual Acceptance WK34</t>
  </si>
  <si>
    <t>Actual Acceptance WK35</t>
  </si>
  <si>
    <t>ยอด Actual Acceptance WK35</t>
  </si>
  <si>
    <t>Actual Acceptance WK36</t>
  </si>
  <si>
    <t>ยอด Actual Acceptance WK36</t>
  </si>
  <si>
    <t>Slide 15</t>
  </si>
  <si>
    <t>Actual Acceptance TOTAL (JAN-AUGUST) HUAWEI</t>
  </si>
  <si>
    <t>ยอด Actual Actual Acceptance TOTAL (JAN-AUGUST) HUAWEI</t>
  </si>
  <si>
    <t>Actual Acceptance TOTAL (JAN-AUGUST) TRUE-TUC</t>
  </si>
  <si>
    <t>ยอด Actual Actual Acceptance TOTAL (JAN-AUGUST) TRUE-TUC</t>
  </si>
  <si>
    <t>Slide 16</t>
  </si>
  <si>
    <t>Action Plan AC#1 WK35</t>
  </si>
  <si>
    <t>Action Plan AC#2 WK35</t>
  </si>
  <si>
    <t>Action Plan TOTAL WK35</t>
  </si>
  <si>
    <t>Slide 17</t>
  </si>
  <si>
    <t>Plan: Acceptance AC#1 Plan WK36 (2023)</t>
  </si>
  <si>
    <t>Action Plan AC#1 WK36</t>
  </si>
  <si>
    <t>ยอด Remain ที่ตั้งเป้าจะเคลียร์ (2023)</t>
  </si>
  <si>
    <t>Plan: Acceptance AC#1 Plan WK36 (2024)</t>
  </si>
  <si>
    <t>ยอด Remain ที่ตั้งเป้าจะเคลียร์ (2024)</t>
  </si>
  <si>
    <t>Plan: Acceptance AC#1 Plan WK36 (2025)</t>
  </si>
  <si>
    <t>ยอด Remain ที่ตั้งเป้าจะเคลียร์ (2025)</t>
  </si>
  <si>
    <t>Plan: Acceptance AC#1 Plan WK36 (2026)</t>
  </si>
  <si>
    <t>ยอด Remain ที่ตั้งเป้าจะเคลียร์ (2026)</t>
  </si>
  <si>
    <t>Plan: Acceptance AC#1 Plan WK36 (TOTAL)</t>
  </si>
  <si>
    <t>Action Plan AC#1 WK 36 TOTAL</t>
  </si>
  <si>
    <t>ยอด Remain  Plan AC#1 WK 30 Total Amount</t>
  </si>
  <si>
    <t>Slide 18</t>
  </si>
  <si>
    <t>Plan: Acceptance AC#2 Plan WK36 (2023)</t>
  </si>
  <si>
    <t>Action Plan AC#2 WK36</t>
  </si>
  <si>
    <t>Plan: Acceptance AC#2 Plan WK36 (2024)</t>
  </si>
  <si>
    <t>Plan: Acceptance AC#2 Plan WK36 (2025)</t>
  </si>
  <si>
    <t>Plan: Acceptance AC#2 Plan WK36 (2026)</t>
  </si>
  <si>
    <t>Plan: Acceptance AC#2 Plan WK36 (TOTAL)</t>
  </si>
  <si>
    <t>Action Plan AC#2 WK36 TOTAL</t>
  </si>
  <si>
    <t>แผนผลักดัน Plan AC#2 WK30 Total Amount</t>
  </si>
  <si>
    <t>Slide 19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</si>
  <si>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</si>
  <si>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</si>
  <si>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</si>
  <si>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</si>
  <si>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</si>
  <si>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</si>
  <si>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</si>
  <si>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</si>
  <si>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</si>
  <si>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</si>
  <si>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</si>
  <si>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</si>
  <si>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</si>
  <si>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</si>
  <si>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Slide 20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</si>
  <si>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</si>
  <si>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</si>
  <si>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</si>
  <si>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</si>
  <si>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</si>
  <si>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</si>
  <si>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</si>
  <si>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</si>
  <si>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</si>
  <si>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</si>
  <si>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</si>
  <si>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Slide 21</t>
  </si>
  <si>
    <t>Acceptane Target Plan JULY</t>
  </si>
  <si>
    <t>Acceptane Target Plan AUGUST</t>
  </si>
  <si>
    <t>Acceptane Target Actual JULY</t>
  </si>
  <si>
    <t>Acceptane Target Actual AUGUST</t>
  </si>
  <si>
    <t>Topic / Metric</t>
  </si>
  <si>
    <t>Status / Detail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</si>
  <si>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</si>
  <si>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</si>
  <si>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</si>
  <si>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</si>
  <si>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</si>
  <si>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</si>
  <si>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</si>
  <si>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</si>
  <si>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</si>
  <si>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</si>
  <si>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</si>
  <si>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</si>
  <si>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ACTION REQUIRED: SMART QC</t>
  </si>
  <si>
    <t>ACTION REQUIRED: PAT SUBCON</t>
  </si>
  <si>
    <t>OWNER DOC</t>
  </si>
  <si>
    <t>REWORK REQUIRED: PAT NOT PASS</t>
  </si>
  <si>
    <t>Site DUID</t>
  </si>
  <si>
    <t>Aging</t>
  </si>
  <si>
    <t>Assign</t>
  </si>
  <si>
    <t>NGSUM_2026 Capacity Expansion Ph1_EXP_ER</t>
  </si>
  <si>
    <t>1 วัน</t>
  </si>
  <si>
    <t>All sites are up to date 🎉</t>
  </si>
  <si>
    <t>-</t>
  </si>
  <si>
    <t>PKFAM_2026 Capacity Expansion Ph1_EXP_ER</t>
  </si>
  <si>
    <t>น.ส. วราพร วงค์พิพันธ์</t>
  </si>
  <si>
    <t>MNMNM_2026 Capacity Expansion Ph1_EXP_ER</t>
  </si>
  <si>
    <t>CTUSM_2026 Capacity Expansion Modernize_EXP_ER</t>
  </si>
  <si>
    <t>น.ส. หทัยรัตน์ สิงห์แก้ว</t>
  </si>
  <si>
    <t>NKNVM_2026 Capacity Expansion Modernize_EXP_ER</t>
  </si>
  <si>
    <t>Apichart Kampuang</t>
  </si>
  <si>
    <t>NUMRM_2026 Capacity Expansion Modernize_EXP_ER</t>
  </si>
  <si>
    <t>NVPSM_2026 Capacity Expansion Modernize_EXP_ER</t>
  </si>
  <si>
    <t>NYOAM_2026 Capacity Expansion Modernize_EXP_ER</t>
  </si>
  <si>
    <t>PBSTM_2026 Capacity Expansion Modernize_EXP_ER</t>
  </si>
  <si>
    <t>PMCDM_2026 Capacity Expansion Modernize_EXP_ER</t>
  </si>
  <si>
    <t>PRDSM_2026 Capacity Expansion Modernize_EXP_ER</t>
  </si>
  <si>
    <t>RCTNM_2026 Capacity Expansion Modernize_EXP_ER</t>
  </si>
  <si>
    <t>SPOCM_2026 Capacity Expansion Modernize_EXP_ER</t>
  </si>
  <si>
    <t>CCCHM_2026 Capacity Expansion Modernize_EXP_ER</t>
  </si>
  <si>
    <t>KDSSM_2026 Capacity Expansion Modernize_EXP_ER</t>
  </si>
  <si>
    <t>LPCTM_2026 Capacity Expansion Modernize_EXP_ER</t>
  </si>
  <si>
    <t>MGMHM_2026 Capacity Expansion Modernize_EXP_ER</t>
  </si>
  <si>
    <t>OBTNM_2026 Capacity Expansion Modernize_EXP_ER</t>
  </si>
  <si>
    <t>SKBTM_2026 Capacity Expansion Modernize_EXP_ER</t>
  </si>
  <si>
    <t>TBKBM_2026 Capacity Expansion Modernize_EXP_ER</t>
  </si>
  <si>
    <t>TLVWM_2026 Capacity Expansion Modernize_EXP_ER</t>
  </si>
  <si>
    <t>TNBAM_2026 Capacity Expansion Modernize_EXP_ER</t>
  </si>
  <si>
    <t>STMLM_2026 Capacity Expansion Modernize_EXP_ER</t>
  </si>
  <si>
    <t>KMCPM_2026 Capacity Expansion Modernize_EXP_ER</t>
  </si>
  <si>
    <t>RJLBM_2025 Coverage Expansion Ph2_New Site_NodeB_ER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</si>
  <si>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</si>
  <si>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</si>
  <si>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</si>
  <si>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</si>
  <si>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</si>
  <si>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</si>
  <si>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</si>
  <si>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</si>
  <si>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</si>
  <si>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</si>
  <si>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</si>
  <si>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</si>
  <si>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</si>
  <si>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</si>
  <si>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</si>
  <si>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</si>
  <si>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</si>
  <si>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</si>
  <si>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</si>
  <si>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</si>
  <si>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</si>
  <si>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</si>
  <si>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</si>
  <si>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</si>
  <si>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</si>
  <si>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</si>
  <si>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</si>
  <si>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</si>
  <si>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</si>
  <si>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</si>
  <si>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</si>
  <si>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</si>
  <si>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</si>
  <si>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</si>
  <si>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</si>
  <si>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</si>
  <si>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</si>
  <si>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</si>
  <si>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</si>
  <si>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</si>
  <si>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</si>
  <si>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</si>
  <si>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</si>
  <si>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</si>
  <si>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</si>
  <si>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</si>
  <si>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</si>
  <si>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</si>
  <si>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</si>
  <si>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</si>
  <si>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</si>
  <si>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</si>
  <si>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</si>
  <si>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</si>
  <si>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</si>
  <si>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</si>
  <si>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</si>
  <si>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</si>
  <si>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</si>
  <si>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</si>
  <si>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</si>
  <si>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</si>
  <si>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</si>
  <si>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</si>
  <si>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</si>
  <si>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</si>
  <si>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</si>
  <si>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</si>
  <si>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</si>
  <si>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</si>
  <si>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</si>
  <si>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</si>
  <si>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</si>
  <si>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</si>
  <si>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</si>
  <si>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</si>
  <si>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</si>
  <si>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INHOUSE</t>
  </si>
  <si>
    <t>Adisak Chanmao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</si>
  <si>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</si>
  <si>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</si>
  <si>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</si>
  <si>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</si>
  <si>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</si>
  <si>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</si>
  <si>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</si>
  <si>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</si>
  <si>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</si>
  <si>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</si>
  <si>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</si>
  <si>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</si>
  <si>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</si>
  <si>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</si>
  <si>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</si>
  <si>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</si>
  <si>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</si>
  <si>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</si>
  <si>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</si>
  <si>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</si>
  <si>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</si>
  <si>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</si>
  <si>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</si>
  <si>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</si>
  <si>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</si>
  <si>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</si>
  <si>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</si>
  <si>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</si>
  <si>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</si>
  <si>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</si>
  <si>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</si>
  <si>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</si>
  <si>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</si>
  <si>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</si>
  <si>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</si>
  <si>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</si>
  <si>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</si>
  <si>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</si>
  <si>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</si>
  <si>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</si>
  <si>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</si>
  <si>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</si>
  <si>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</si>
  <si>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</si>
  <si>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</si>
  <si>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</si>
  <si>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</si>
  <si>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</si>
  <si>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</si>
  <si>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</si>
  <si>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</si>
  <si>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</si>
  <si>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</si>
  <si>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</si>
  <si>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</si>
  <si>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</si>
  <si>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</si>
  <si>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</si>
  <si>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</si>
  <si>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</si>
  <si>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</si>
  <si>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</si>
  <si>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</si>
  <si>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</si>
  <si>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</si>
  <si>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</si>
  <si>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</si>
  <si>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</si>
  <si>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</si>
  <si>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</si>
  <si>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</si>
  <si>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</si>
  <si>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</si>
  <si>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</si>
  <si>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</si>
  <si>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</si>
  <si>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</si>
  <si>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</si>
  <si>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</si>
  <si>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</si>
  <si>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</si>
  <si>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</si>
  <si>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</si>
  <si>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</si>
  <si>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</si>
  <si>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</si>
  <si>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</si>
  <si>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</si>
  <si>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</si>
  <si>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</si>
  <si>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</si>
  <si>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</si>
  <si>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</si>
  <si>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</si>
  <si>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</si>
  <si>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</si>
  <si>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</si>
  <si>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</si>
  <si>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</si>
  <si>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</si>
  <si>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</si>
  <si>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</si>
  <si>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</si>
  <si>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</si>
  <si>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</si>
  <si>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</si>
  <si>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</si>
  <si>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</si>
  <si>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</si>
  <si>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</si>
  <si>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</si>
  <si>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</si>
  <si>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</si>
  <si>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</si>
  <si>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</si>
  <si>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</si>
  <si>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</si>
  <si>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</si>
  <si>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</si>
  <si>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</si>
  <si>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</si>
  <si>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</si>
  <si>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</si>
  <si>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</si>
  <si>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</si>
  <si>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</si>
  <si>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</si>
  <si>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</si>
  <si>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</si>
  <si>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</si>
  <si>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</si>
  <si>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</si>
  <si>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</si>
  <si>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</si>
  <si>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</si>
  <si>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</si>
  <si>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</si>
  <si>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</si>
  <si>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</si>
  <si>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</si>
  <si>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</si>
  <si>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</si>
  <si>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</si>
  <si>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</si>
  <si>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</si>
  <si>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</si>
  <si>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</si>
  <si>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</si>
  <si>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</si>
  <si>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</si>
  <si>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</si>
  <si>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</si>
  <si>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</si>
  <si>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</si>
  <si>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</si>
  <si>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</si>
  <si>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</si>
  <si>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</si>
  <si>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</si>
  <si>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</si>
  <si>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</si>
  <si>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</si>
  <si>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</si>
  <si>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</si>
  <si>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</si>
  <si>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</si>
  <si>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</si>
  <si>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</si>
  <si>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</si>
  <si>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</si>
  <si>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</si>
  <si>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</si>
  <si>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</si>
  <si>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</si>
  <si>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</si>
  <si>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</si>
  <si>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</si>
  <si>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</si>
  <si>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</si>
  <si>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</si>
  <si>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</si>
  <si>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</si>
  <si>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</si>
  <si>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</si>
  <si>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</si>
  <si>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</si>
  <si>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</si>
  <si>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</si>
  <si>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</si>
  <si>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</si>
  <si>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</si>
  <si>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</si>
  <si>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</si>
  <si>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</si>
  <si>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</si>
  <si>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</si>
  <si>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</si>
  <si>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</si>
  <si>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</si>
  <si>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</si>
  <si>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</si>
  <si>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</si>
  <si>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</si>
  <si>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</si>
  <si>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</si>
  <si>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</si>
  <si>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</si>
  <si>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</si>
  <si>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</si>
  <si>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</si>
  <si>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</si>
  <si>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</si>
  <si>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</si>
  <si>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</si>
  <si>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</si>
  <si>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</si>
  <si>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</si>
  <si>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</si>
  <si>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</si>
  <si>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</si>
  <si>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</si>
  <si>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</si>
  <si>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</si>
  <si>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</si>
  <si>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</si>
  <si>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</si>
  <si>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</si>
  <si>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</si>
  <si>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</si>
  <si>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</si>
  <si>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</si>
  <si>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</si>
  <si>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</si>
  <si>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</si>
  <si>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</si>
  <si>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</si>
  <si>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</si>
  <si>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</si>
  <si>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</si>
  <si>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</si>
  <si>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</si>
  <si>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</si>
  <si>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</si>
  <si>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</si>
  <si>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</si>
  <si>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</si>
  <si>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</si>
  <si>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</si>
  <si>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</si>
  <si>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</si>
  <si>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</si>
  <si>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</si>
  <si>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</si>
  <si>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</si>
  <si>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</si>
  <si>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</si>
  <si>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</si>
  <si>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</si>
  <si>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</si>
  <si>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</si>
  <si>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</si>
  <si>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</si>
  <si>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</si>
  <si>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</si>
  <si>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</si>
  <si>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</si>
  <si>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</si>
  <si>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</si>
  <si>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</si>
  <si>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EP26020075</t>
  </si>
  <si>
    <t>HAE-Cap_Q126-NWKYM</t>
  </si>
  <si>
    <t>NWKYM_2025 Capacity Expansion Ph8_EXP_ER</t>
  </si>
  <si>
    <t>NWKYM</t>
  </si>
  <si>
    <t>26WK9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</si>
  <si>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</si>
  <si>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</si>
  <si>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</si>
  <si>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</si>
  <si>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</si>
  <si>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</si>
  <si>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</si>
  <si>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</si>
  <si>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</si>
  <si>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</si>
  <si>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</si>
  <si>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</si>
  <si>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</si>
  <si>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</si>
  <si>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</si>
  <si>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</si>
  <si>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</si>
  <si>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</si>
  <si>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</si>
  <si>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</si>
  <si>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</si>
  <si>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</si>
  <si>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</si>
  <si>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</si>
  <si>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</si>
  <si>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</si>
  <si>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</si>
  <si>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</si>
  <si>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</si>
  <si>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</si>
  <si>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</si>
  <si>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</si>
  <si>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</si>
  <si>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</si>
  <si>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</si>
  <si>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</si>
  <si>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</si>
  <si>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</si>
  <si>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</si>
  <si>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</si>
  <si>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</si>
  <si>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</si>
  <si>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</si>
  <si>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</si>
  <si>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</si>
  <si>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</si>
  <si>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</si>
  <si>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</si>
  <si>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</si>
  <si>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</si>
  <si>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</si>
  <si>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</si>
  <si>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</si>
  <si>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</si>
  <si>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</si>
  <si>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</si>
  <si>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</si>
  <si>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</si>
  <si>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</si>
  <si>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</si>
  <si>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</si>
  <si>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</si>
  <si>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</si>
  <si>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</si>
  <si>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</si>
  <si>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</si>
  <si>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</si>
  <si>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</si>
  <si>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</si>
  <si>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</si>
  <si>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</si>
  <si>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</si>
  <si>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</si>
  <si>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</si>
  <si>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</si>
  <si>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</si>
  <si>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</si>
  <si>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</si>
  <si>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</si>
  <si>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</si>
  <si>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</si>
  <si>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</si>
  <si>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</si>
  <si>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</si>
  <si>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</si>
  <si>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</si>
  <si>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</si>
  <si>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</si>
  <si>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</si>
  <si>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</si>
  <si>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</si>
  <si>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</si>
  <si>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</si>
  <si>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</si>
  <si>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</si>
  <si>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</si>
  <si>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</si>
  <si>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</si>
  <si>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</si>
  <si>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</si>
  <si>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</si>
  <si>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</si>
  <si>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</si>
  <si>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</si>
  <si>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</si>
  <si>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</si>
  <si>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</si>
  <si>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</si>
  <si>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</si>
  <si>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</si>
  <si>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</si>
  <si>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</si>
  <si>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</si>
  <si>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</si>
  <si>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</si>
  <si>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</si>
  <si>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</si>
  <si>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</si>
  <si>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</si>
  <si>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</si>
  <si>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</si>
  <si>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</si>
  <si>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</si>
  <si>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</si>
  <si>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</si>
  <si>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</si>
  <si>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</si>
  <si>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</si>
  <si>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</si>
  <si>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</si>
  <si>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</si>
  <si>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</si>
  <si>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</si>
  <si>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</si>
  <si>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</si>
  <si>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</si>
  <si>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</si>
  <si>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</si>
  <si>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</si>
  <si>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</si>
  <si>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</si>
  <si>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</si>
  <si>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</si>
  <si>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</si>
  <si>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</si>
  <si>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</si>
  <si>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</si>
  <si>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</si>
  <si>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</si>
  <si>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</si>
  <si>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</si>
  <si>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</si>
  <si>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</si>
  <si>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</si>
  <si>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</si>
  <si>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</si>
  <si>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</si>
  <si>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</si>
  <si>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</si>
  <si>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</si>
  <si>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</si>
  <si>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</si>
  <si>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</si>
  <si>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</si>
  <si>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</si>
  <si>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</si>
  <si>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</si>
  <si>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</si>
  <si>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</si>
  <si>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</si>
  <si>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</si>
  <si>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</si>
  <si>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</si>
  <si>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</si>
  <si>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</si>
  <si>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</si>
  <si>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</si>
  <si>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</si>
  <si>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</si>
  <si>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</si>
  <si>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</si>
  <si>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</si>
  <si>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</si>
  <si>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</si>
  <si>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</si>
  <si>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</si>
  <si>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</si>
  <si>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</si>
  <si>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</si>
  <si>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</si>
  <si>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</si>
  <si>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</si>
  <si>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</si>
  <si>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</si>
  <si>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</si>
  <si>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</si>
  <si>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</si>
  <si>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</si>
  <si>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</si>
  <si>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</si>
  <si>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</si>
  <si>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</si>
  <si>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</si>
  <si>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</si>
  <si>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</si>
  <si>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</si>
  <si>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</si>
  <si>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</si>
  <si>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</si>
  <si>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</si>
  <si>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</si>
  <si>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</si>
  <si>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</si>
  <si>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</si>
  <si>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</si>
  <si>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</si>
  <si>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</si>
  <si>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</si>
  <si>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</si>
  <si>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</si>
  <si>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</si>
  <si>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</si>
  <si>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</si>
  <si>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</si>
  <si>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</si>
  <si>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</si>
  <si>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</si>
  <si>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</si>
  <si>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</si>
  <si>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</si>
  <si>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</si>
  <si>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</si>
  <si>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</si>
  <si>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</si>
  <si>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</si>
  <si>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</si>
  <si>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</si>
  <si>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</si>
  <si>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</si>
  <si>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</si>
  <si>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</si>
  <si>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</si>
  <si>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</si>
  <si>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</si>
  <si>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</si>
  <si>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</si>
  <si>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</si>
  <si>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</si>
  <si>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</si>
  <si>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</si>
  <si>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</si>
  <si>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</si>
  <si>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</si>
  <si>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</si>
  <si>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</si>
  <si>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</si>
  <si>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</si>
  <si>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</si>
  <si>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</si>
  <si>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</si>
  <si>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</si>
  <si>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</si>
  <si>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</si>
  <si>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</si>
  <si>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</si>
  <si>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</si>
  <si>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</si>
  <si>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</si>
  <si>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</si>
  <si>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</si>
  <si>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</si>
  <si>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</si>
  <si>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</si>
  <si>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</si>
  <si>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</si>
  <si>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</si>
  <si>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</si>
  <si>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</si>
  <si>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</si>
  <si>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</si>
  <si>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</si>
  <si>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</si>
  <si>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</si>
  <si>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NOGKM_2026 Capacity Expansion Ph1_EXP_ER</t>
  </si>
  <si>
    <t>NOGKM</t>
  </si>
  <si>
    <t>26WK26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</si>
  <si>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</si>
  <si>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</si>
  <si>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</si>
  <si>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</si>
  <si>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</si>
  <si>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</si>
  <si>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</si>
  <si>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</si>
  <si>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</si>
  <si>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26WK27</t>
  </si>
  <si>
    <t>EP26050033</t>
  </si>
  <si>
    <t>HAE-Cap_Q226-AGWNM</t>
  </si>
  <si>
    <t>AGWNM_2026 Capacity Expansion Ph1_EXP_ER</t>
  </si>
  <si>
    <t>AGWNM</t>
  </si>
  <si>
    <t>26WK28</t>
  </si>
  <si>
    <t>EP26050034</t>
  </si>
  <si>
    <t>HAE-Cap_Q226-PDAGM</t>
  </si>
  <si>
    <t>PDAGM_2026 Capacity Expansion Ph1_EXP_ER</t>
  </si>
  <si>
    <t>PDAGM</t>
  </si>
  <si>
    <t>26WK29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</si>
  <si>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</si>
  <si>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</si>
  <si>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</si>
  <si>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</si>
  <si>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</si>
  <si>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</si>
  <si>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</si>
  <si>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</si>
  <si>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</si>
  <si>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</si>
  <si>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</si>
  <si>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</si>
  <si>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Palagon Prommueangma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</si>
  <si>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</si>
  <si>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</si>
  <si>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</si>
  <si>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</si>
  <si>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</si>
  <si>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</si>
  <si>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</t>
  </si>
  <si>
    <t>นาย พงพัฒน์ มาลาทิพท์</t>
  </si>
  <si>
    <t>VD01269</t>
  </si>
  <si>
    <t>26WK32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</si>
  <si>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</si>
  <si>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</si>
  <si>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</si>
  <si>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</si>
  <si>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</si>
  <si>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</si>
  <si>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</si>
  <si>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</si>
  <si>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</si>
  <si>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</si>
  <si>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</si>
  <si>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</si>
  <si>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</si>
  <si>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</si>
  <si>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</si>
  <si>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</si>
  <si>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</si>
  <si>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</si>
  <si>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</si>
  <si>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</si>
  <si>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</si>
  <si>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</si>
  <si>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</si>
  <si>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</si>
  <si>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นาย ภูริวัจน์ ขวัญแก้ว</t>
  </si>
  <si>
    <t>VD01090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</si>
  <si>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</si>
  <si>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</si>
  <si>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</si>
  <si>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</si>
  <si>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</si>
  <si>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</si>
  <si>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</si>
  <si>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</si>
  <si>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</si>
  <si>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</si>
  <si>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</si>
  <si>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</si>
  <si>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</si>
  <si>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</si>
  <si>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</si>
  <si>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</si>
  <si>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</si>
  <si>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</si>
  <si>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</si>
  <si>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</si>
  <si>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</si>
  <si>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</si>
  <si>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</si>
  <si>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</si>
  <si>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</si>
  <si>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</si>
  <si>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</si>
  <si>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</si>
  <si>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</si>
  <si>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</si>
  <si>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</si>
  <si>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</si>
  <si>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</si>
  <si>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</si>
  <si>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</si>
  <si>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</si>
  <si>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26WK30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</si>
  <si>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</si>
  <si>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</si>
  <si>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</si>
  <si>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</si>
  <si>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</si>
  <si>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</si>
  <si>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</si>
  <si>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</si>
  <si>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</si>
  <si>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</si>
  <si>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</si>
  <si>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</si>
  <si>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</si>
  <si>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</si>
  <si>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</si>
  <si>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</si>
  <si>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</si>
  <si>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</si>
  <si>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</si>
  <si>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</si>
  <si>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</si>
  <si>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</si>
  <si>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</si>
  <si>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</si>
  <si>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</si>
  <si>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</si>
  <si>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</si>
  <si>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</si>
  <si>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</si>
  <si>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</si>
  <si>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</si>
  <si>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</si>
  <si>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</si>
  <si>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</si>
  <si>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</si>
  <si>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</si>
  <si>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</si>
  <si>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</si>
  <si>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</si>
  <si>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</si>
  <si>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</si>
  <si>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</si>
  <si>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</si>
  <si>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</si>
  <si>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</si>
  <si>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</si>
  <si>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</si>
  <si>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</si>
  <si>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</si>
  <si>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</si>
  <si>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</si>
  <si>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</si>
  <si>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</si>
  <si>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</si>
  <si>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</t>
  </si>
  <si>
    <t>26WK35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</si>
  <si>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</si>
  <si>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</si>
  <si>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</si>
  <si>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</si>
  <si>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</si>
  <si>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</si>
  <si>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</si>
  <si>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</si>
  <si>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</si>
  <si>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</si>
  <si>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</si>
  <si>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</si>
  <si>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</si>
  <si>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</si>
  <si>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</si>
  <si>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</si>
  <si>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</si>
  <si>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</si>
  <si>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</si>
  <si>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</si>
  <si>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</si>
  <si>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</si>
  <si>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</si>
  <si>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</si>
  <si>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ON PROCESS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</si>
  <si>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</si>
  <si>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</si>
  <si>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</si>
  <si>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</si>
  <si>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</si>
  <si>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</si>
  <si>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</si>
  <si>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</si>
  <si>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</si>
  <si>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</si>
  <si>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</si>
  <si>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</si>
  <si>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26WK31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</si>
  <si>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</si>
  <si>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</si>
  <si>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</si>
  <si>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</si>
  <si>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</si>
  <si>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</si>
  <si>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</si>
  <si>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</si>
  <si>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EP26060123</t>
  </si>
  <si>
    <t>HAE-MOD_Q226-MPJSM</t>
  </si>
  <si>
    <t>MPJSM_2026 Capacity Expansion Modernize_EXP_ER</t>
  </si>
  <si>
    <t>MOD_Q226</t>
  </si>
  <si>
    <t>MPJSM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</si>
  <si>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</si>
  <si>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</si>
  <si>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</si>
  <si>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</si>
  <si>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</si>
  <si>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</si>
  <si>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</si>
  <si>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</si>
  <si>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</si>
  <si>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</si>
  <si>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</si>
  <si>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</si>
  <si>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</si>
  <si>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</si>
  <si>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</si>
  <si>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</si>
  <si>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</si>
  <si>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</si>
  <si>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</si>
  <si>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EP26060086</t>
  </si>
  <si>
    <t>HAE-MOD_Q226-NOGKM</t>
  </si>
  <si>
    <t>NOGKM_2026 Capacity Expansion Modernize_EXP_ER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</si>
  <si>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</si>
  <si>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</si>
  <si>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</si>
  <si>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</si>
  <si>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</si>
  <si>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</si>
  <si>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</si>
  <si>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</si>
  <si>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</si>
  <si>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</si>
  <si>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</si>
  <si>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</si>
  <si>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</si>
  <si>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BUNAM_2026 Capacity Expansion Modernize_EXP_ER</t>
  </si>
  <si>
    <t>BUNAM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</si>
  <si>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</si>
  <si>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</si>
  <si>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</si>
  <si>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</si>
  <si>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</si>
  <si>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</si>
  <si>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</si>
  <si>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</si>
  <si>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</si>
  <si>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</si>
  <si>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</si>
  <si>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</si>
  <si>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</si>
  <si>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</si>
  <si>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</si>
  <si>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</si>
  <si>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</si>
  <si>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</si>
  <si>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</si>
  <si>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</si>
  <si>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</si>
  <si>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</si>
  <si>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</si>
  <si>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</si>
  <si>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</si>
  <si>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</si>
  <si>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</si>
  <si>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</si>
  <si>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</si>
  <si>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</si>
  <si>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OTCPM_2026 Capacity Expansion Modernize_EXP_ER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</si>
  <si>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</si>
  <si>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</si>
  <si>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</si>
  <si>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</si>
  <si>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</si>
  <si>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</si>
  <si>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</si>
  <si>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</si>
  <si>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</si>
  <si>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</si>
  <si>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</si>
  <si>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</si>
  <si>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</si>
  <si>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</si>
  <si>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</si>
  <si>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</si>
  <si>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</si>
  <si>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</si>
  <si>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</si>
  <si>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</si>
  <si>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</si>
  <si>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SEAHM_2026 Capacity Expansion Modernize_EXP_ER</t>
  </si>
  <si>
    <t>SEAHM</t>
  </si>
  <si>
    <t>EP26060105</t>
  </si>
  <si>
    <t>TME-FRAN2026-RYG0757</t>
  </si>
  <si>
    <t>RYG0757_Flash_RAN_EAS R3</t>
  </si>
  <si>
    <t>FRAN2026</t>
  </si>
  <si>
    <t>RYG0757</t>
  </si>
  <si>
    <t>GSC HW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</si>
  <si>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</si>
  <si>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</si>
  <si>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</si>
  <si>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</si>
  <si>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</si>
  <si>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</si>
  <si>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</si>
  <si>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</si>
  <si>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EP26060108</t>
  </si>
  <si>
    <t>TME-FRAN2026-RYG4003</t>
  </si>
  <si>
    <t>RYG4003_Flash_RAN_EAS R3</t>
  </si>
  <si>
    <t>RYG4003</t>
  </si>
  <si>
    <t>EP26070010</t>
  </si>
  <si>
    <t>TME-FRAN2026-RYG0571</t>
  </si>
  <si>
    <t>RYG0571_Flash_RAN_EAS R3</t>
  </si>
  <si>
    <t>RYG0571</t>
  </si>
  <si>
    <t>EP26070011</t>
  </si>
  <si>
    <t>TME-FRAN2026-RYG0627</t>
  </si>
  <si>
    <t>RYG0627_Flash_RAN_EAS R3</t>
  </si>
  <si>
    <t>RYG0627</t>
  </si>
  <si>
    <t>EP26060019</t>
  </si>
  <si>
    <t>HAE-NEWSITE-SNOTM</t>
  </si>
  <si>
    <t>SNOTM_2024 Coverage Expansion Ph2_New Site_Remote-BBU_ER</t>
  </si>
  <si>
    <t>SNOTM</t>
  </si>
  <si>
    <t>EP26060137</t>
  </si>
  <si>
    <t>HAE-MOD_Q226-RCTNM</t>
  </si>
  <si>
    <t>RCTNM</t>
  </si>
  <si>
    <t>นาย จรัล ศรีเหลี่ยม</t>
  </si>
  <si>
    <t>VD01266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</si>
  <si>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</si>
  <si>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</si>
  <si>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</si>
  <si>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</si>
  <si>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</si>
  <si>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</si>
  <si>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</si>
  <si>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</si>
  <si>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</si>
  <si>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</si>
  <si>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</si>
  <si>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</si>
  <si>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</si>
  <si>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</si>
  <si>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</si>
  <si>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</si>
  <si>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</si>
  <si>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</si>
  <si>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</si>
  <si>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</si>
  <si>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</si>
  <si>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</si>
  <si>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</si>
  <si>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</si>
  <si>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EP26060113</t>
  </si>
  <si>
    <t>HAE-MOD_Q226-CTSVM</t>
  </si>
  <si>
    <t>CTSVM_2026 Capacity Expansion Modernize_EXP_ER</t>
  </si>
  <si>
    <t>CTSVM</t>
  </si>
  <si>
    <t>EP26060126</t>
  </si>
  <si>
    <t>HAE-MOD_Q226-NKNVM</t>
  </si>
  <si>
    <t>NKNVM</t>
  </si>
  <si>
    <t>26WK34</t>
  </si>
  <si>
    <t>EP26060132</t>
  </si>
  <si>
    <t>HAE-MOD_Q226-NYOAM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</si>
  <si>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</si>
  <si>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</si>
  <si>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</si>
  <si>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</si>
  <si>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</si>
  <si>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</si>
  <si>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</si>
  <si>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</si>
  <si>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</si>
  <si>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</si>
  <si>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</si>
  <si>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</si>
  <si>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</si>
  <si>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</si>
  <si>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</t>
  </si>
  <si>
    <t>26WK33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</si>
  <si>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</si>
  <si>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</si>
  <si>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</si>
  <si>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</si>
  <si>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</si>
  <si>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</si>
  <si>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</si>
  <si>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</si>
  <si>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</si>
  <si>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</si>
  <si>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</si>
  <si>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</si>
  <si>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</si>
  <si>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</si>
  <si>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</si>
  <si>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</si>
  <si>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</si>
  <si>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</si>
  <si>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</si>
  <si>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</si>
  <si>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</si>
  <si>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</si>
  <si>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</si>
  <si>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</si>
  <si>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</si>
  <si>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</si>
  <si>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</si>
  <si>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</si>
  <si>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</si>
  <si>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</si>
  <si>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</si>
  <si>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</si>
  <si>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</si>
  <si>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</si>
  <si>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</si>
  <si>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</si>
  <si>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</si>
  <si>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</si>
  <si>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</si>
  <si>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</si>
  <si>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</si>
  <si>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</si>
  <si>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</si>
  <si>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</si>
  <si>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</si>
  <si>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</si>
  <si>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</si>
  <si>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</si>
  <si>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</si>
  <si>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</si>
  <si>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</si>
  <si>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</si>
  <si>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</si>
  <si>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</si>
  <si>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</si>
  <si>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</si>
  <si>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</si>
  <si>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</si>
  <si>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</si>
  <si>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</si>
  <si>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</si>
  <si>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</si>
  <si>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</si>
  <si>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</si>
  <si>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</si>
  <si>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</si>
  <si>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</si>
  <si>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</si>
  <si>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</si>
  <si>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</si>
  <si>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</si>
  <si>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</si>
  <si>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</si>
  <si>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</si>
  <si>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</si>
  <si>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</si>
  <si>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</si>
  <si>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</si>
  <si>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</si>
  <si>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</si>
  <si>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</si>
  <si>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</si>
  <si>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</si>
  <si>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</si>
  <si>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</si>
  <si>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</si>
  <si>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EP26080023</t>
  </si>
  <si>
    <t>HAE-MOD_Q326-TSSCM</t>
  </si>
  <si>
    <t>TSSCM_2026 Capacity Expansion Modernize_EXP_ER</t>
  </si>
  <si>
    <t>MOD_Q326</t>
  </si>
  <si>
    <t>TSSCM</t>
  </si>
  <si>
    <t>EP26060131</t>
  </si>
  <si>
    <t>HAE-MOD_Q226-NVPSM</t>
  </si>
  <si>
    <t>NVPSM</t>
  </si>
  <si>
    <t>EP26060134</t>
  </si>
  <si>
    <t>HAE-MOD_Q226-PBSTM</t>
  </si>
  <si>
    <t>PBSTM</t>
  </si>
  <si>
    <t>EP26070022</t>
  </si>
  <si>
    <t>TME-FRAN2026-CBR7347</t>
  </si>
  <si>
    <t>CBR7347_Flash_RAN_EAS R3</t>
  </si>
  <si>
    <t>CBR7347</t>
  </si>
  <si>
    <t>EP26070012</t>
  </si>
  <si>
    <t>TME-FRAN2026-CBRA516</t>
  </si>
  <si>
    <t>CBRA516_Flash_RAN_EAS R3</t>
  </si>
  <si>
    <t>CBRA516</t>
  </si>
  <si>
    <t>EP26070013</t>
  </si>
  <si>
    <t>TME-FRAN2026-CBR8790</t>
  </si>
  <si>
    <t>CBR8790_Flash_RAN_EAS R3</t>
  </si>
  <si>
    <t>CBR8790</t>
  </si>
  <si>
    <t>EP26070023</t>
  </si>
  <si>
    <t>TME-FRAN2026-CBRA441</t>
  </si>
  <si>
    <t>CBRA441_Flash_RAN_EAS R3</t>
  </si>
  <si>
    <t>CBRA441</t>
  </si>
  <si>
    <t>EP26080001</t>
  </si>
  <si>
    <t>HAE-MOD_Q326-AMNKM</t>
  </si>
  <si>
    <t>AMNKM_2026 Capacity Expansion Modernize_EXP_ER</t>
  </si>
  <si>
    <t>AMNKM</t>
  </si>
  <si>
    <t>EP26080002</t>
  </si>
  <si>
    <t>HAE-MOD_Q326-BSHSM</t>
  </si>
  <si>
    <t>BSHSM_2026 Capacity Expansion Modernize_EXP_ER</t>
  </si>
  <si>
    <t>BSHSM</t>
  </si>
  <si>
    <t>EP26080003</t>
  </si>
  <si>
    <t>HAE-MOD_Q326-CNAPM</t>
  </si>
  <si>
    <t>CNAPM_2026 Capacity Expansion Modernize_EXP_ER</t>
  </si>
  <si>
    <t>CNAPM</t>
  </si>
  <si>
    <t>EP26080004</t>
  </si>
  <si>
    <t>HAE-MOD_Q326-FMSYM</t>
  </si>
  <si>
    <t>FMSYM_2026 Capacity Expansion Modernize_EXP_ER</t>
  </si>
  <si>
    <t>FMSYM</t>
  </si>
  <si>
    <t>EP26080005</t>
  </si>
  <si>
    <t>HAE-MOD_Q326-GCPKM</t>
  </si>
  <si>
    <t>GCPKM_2026 Capacity Expansion Modernize_EXP_ER</t>
  </si>
  <si>
    <t>GCPKM</t>
  </si>
  <si>
    <t>EP26080006</t>
  </si>
  <si>
    <t>HAE-MOD_Q326-HKPIM</t>
  </si>
  <si>
    <t>HKPIM_2026 Capacity Expansion Modernize_EXP_ER</t>
  </si>
  <si>
    <t>HKPIM</t>
  </si>
  <si>
    <t>EP26080007</t>
  </si>
  <si>
    <t>HAE-MOD_Q326-INNEM</t>
  </si>
  <si>
    <t>INNEM_2026 Capacity Expansion Modernize_EXP_ER</t>
  </si>
  <si>
    <t>INNEM</t>
  </si>
  <si>
    <t>EP26080008</t>
  </si>
  <si>
    <t>HAE-MOD_Q326-KCGDM</t>
  </si>
  <si>
    <t>KCGDM_2026 Capacity Expansion Modernize_EXP_ER</t>
  </si>
  <si>
    <t>KCGDM</t>
  </si>
  <si>
    <t>EP26080009</t>
  </si>
  <si>
    <t>HAE-MOD_Q326-KKFJM</t>
  </si>
  <si>
    <t>KKFJM_2026 Capacity Expansion Modernize_EXP_ER</t>
  </si>
  <si>
    <t>26WK36</t>
  </si>
  <si>
    <t>EP26080010</t>
  </si>
  <si>
    <t>HAE-MOD_Q326-KNWAM</t>
  </si>
  <si>
    <t>KNWAM_2026 Capacity Expansion Modernize_EXP_ER</t>
  </si>
  <si>
    <t>KNWAM</t>
  </si>
  <si>
    <t>EP26080011</t>
  </si>
  <si>
    <t>HAE-MOD_Q326-MKVLM</t>
  </si>
  <si>
    <t>MKVLM_2026 Capacity Expansion Modernize_EXP_ER</t>
  </si>
  <si>
    <t>MKVLM</t>
  </si>
  <si>
    <t>EP26080012</t>
  </si>
  <si>
    <t>HAE-MOD_Q326-MNKWM</t>
  </si>
  <si>
    <t>MNKWM_2026 Capacity Expansion Modernize_EXP_ER</t>
  </si>
  <si>
    <t>MNKWM</t>
  </si>
  <si>
    <t>EP26080013</t>
  </si>
  <si>
    <t>HAE-MOD_Q326-NBRPM</t>
  </si>
  <si>
    <t>NBRPM_2026 Capacity Expansion Modernize_EXP_ER</t>
  </si>
  <si>
    <t>NBRPM</t>
  </si>
  <si>
    <t>EP26080014</t>
  </si>
  <si>
    <t>HAE-MOD_Q326-NCTSM</t>
  </si>
  <si>
    <t>NCTSM_2026 Capacity Expansion Modernize_EXP_ER</t>
  </si>
  <si>
    <t>NCTSM</t>
  </si>
  <si>
    <t>EP26080015</t>
  </si>
  <si>
    <t>HAE-MOD_Q326-NKOWM</t>
  </si>
  <si>
    <t>NKOWM_2026 Capacity Expansion Modernize_EXP_ER</t>
  </si>
  <si>
    <t>NKOWM</t>
  </si>
  <si>
    <t>EP26080016</t>
  </si>
  <si>
    <t>HAE-MOD_Q326-RRWKM</t>
  </si>
  <si>
    <t>RRWKM_2026 Capacity Expansion Modernize_EXP_ER</t>
  </si>
  <si>
    <t>RRWKM</t>
  </si>
  <si>
    <t>EP26080017</t>
  </si>
  <si>
    <t>HAE-MOD_Q326-SKRKM</t>
  </si>
  <si>
    <t>SKRKM_2026 Capacity Expansion Modernize_EXP_ER</t>
  </si>
  <si>
    <t>SKRKM</t>
  </si>
  <si>
    <t>EP26080018</t>
  </si>
  <si>
    <t>HAE-MOD_Q326-SMATM</t>
  </si>
  <si>
    <t>SMATM_2026 Capacity Expansion Modernize_EXP_ER</t>
  </si>
  <si>
    <t>SMATM</t>
  </si>
  <si>
    <t>EP26080019</t>
  </si>
  <si>
    <t>HAE-MOD_Q326-SPOCM</t>
  </si>
  <si>
    <t>SPOCM</t>
  </si>
  <si>
    <t>EP26080020</t>
  </si>
  <si>
    <t>HAE-MOD_Q326-SYLLM</t>
  </si>
  <si>
    <t>SYLLM_2026 Capacity Expansion Modernize_EXP_ER</t>
  </si>
  <si>
    <t>SYLLM</t>
  </si>
  <si>
    <t>EP26080021</t>
  </si>
  <si>
    <t>HAE-MOD_Q326-TKNDM</t>
  </si>
  <si>
    <t>TKNDM_2026 Capacity Expansion Modernize_EXP_ER</t>
  </si>
  <si>
    <t>TKNDM</t>
  </si>
  <si>
    <t>EP26080022</t>
  </si>
  <si>
    <t>HAE-MOD_Q326-TKUMM</t>
  </si>
  <si>
    <t>TKUMM_2026 Capacity Expansion Modernize_EXP_ER</t>
  </si>
  <si>
    <t>TKUMM</t>
  </si>
  <si>
    <t>EP26080059</t>
  </si>
  <si>
    <t>HAE-MOD_Q326-TLVWM</t>
  </si>
  <si>
    <t>TLVWM</t>
  </si>
  <si>
    <t>EP26080024</t>
  </si>
  <si>
    <t>HAE-MOD_Q326-TUNMM</t>
  </si>
  <si>
    <t>TUNMM_2026 Capacity Expansion Modernize_EXP_ER</t>
  </si>
  <si>
    <t>TUNMM</t>
  </si>
  <si>
    <t>EP26080025</t>
  </si>
  <si>
    <t>HAE-MOD_Q326-WRDRM</t>
  </si>
  <si>
    <t>WRDRM_2026 Capacity Expansion Modernize_EXP_ER</t>
  </si>
  <si>
    <t>WRDRM</t>
  </si>
  <si>
    <t>EP26080026</t>
  </si>
  <si>
    <t>HAE-MOD_Q326-WTPNM</t>
  </si>
  <si>
    <t>WTPNM_2026 Capacity Expansion Modernize_EXP_ER</t>
  </si>
  <si>
    <t>WTPNM</t>
  </si>
  <si>
    <t>EP26080060</t>
  </si>
  <si>
    <t>HAE-MOD_Q326-TNBAM</t>
  </si>
  <si>
    <t>TNBAM</t>
  </si>
  <si>
    <t>EP26080028</t>
  </si>
  <si>
    <t>HAE-Cap_Q326-HRRYM</t>
  </si>
  <si>
    <t>HRRYM_2026 Capacity Expansion Ph1_EXP_ER</t>
  </si>
  <si>
    <t>Cap_Q326</t>
  </si>
  <si>
    <t>HRRYM</t>
  </si>
  <si>
    <t>EP26060136</t>
  </si>
  <si>
    <t>HAE-MOD_Q226-PRDSM</t>
  </si>
  <si>
    <t>PRDSM</t>
  </si>
  <si>
    <t>EP26080030</t>
  </si>
  <si>
    <t>HAE-Cap_Q326-PEBKM</t>
  </si>
  <si>
    <t>PEBKM_2026 Capacity Expansion Ph1_EXP_ER</t>
  </si>
  <si>
    <t>PEBKM</t>
  </si>
  <si>
    <t>EP26080031</t>
  </si>
  <si>
    <t>HAE-Cap_Q326-PRDVM</t>
  </si>
  <si>
    <t>PRDVM_2026 Capacity Expansion Ph1_EXP_ER</t>
  </si>
  <si>
    <t>PRDVM</t>
  </si>
  <si>
    <t>EP26080032</t>
  </si>
  <si>
    <t>HAE-Cap_Q326-PRILM</t>
  </si>
  <si>
    <t>PRILM_2026 Capacity Expansion Ph1_EXP_ER</t>
  </si>
  <si>
    <t>PRILM</t>
  </si>
  <si>
    <t>EP26080067</t>
  </si>
  <si>
    <t>TME-FRAN2026-CBR5558</t>
  </si>
  <si>
    <t>CBR5558_Flash_RAN_EAS R3</t>
  </si>
  <si>
    <t>CBR5558</t>
  </si>
  <si>
    <t>EP26080068</t>
  </si>
  <si>
    <t>TME-FRAN2026-CBR8626</t>
  </si>
  <si>
    <t>CBR8626_Flash_RAN_EAS R3</t>
  </si>
  <si>
    <t>CBR8626</t>
  </si>
  <si>
    <t>EP26080069</t>
  </si>
  <si>
    <t>TME-FRAN2026-CBR0389</t>
  </si>
  <si>
    <t>CBR0389_Flash_RAN_EAS R3</t>
  </si>
  <si>
    <t>CBR0389</t>
  </si>
  <si>
    <t>EP26080070</t>
  </si>
  <si>
    <t>TME-FRAN2026-CBR7972</t>
  </si>
  <si>
    <t>CBR7972_Flash_RAN_EAS R3</t>
  </si>
  <si>
    <t>CBR7972</t>
  </si>
  <si>
    <t>EP26080071</t>
  </si>
  <si>
    <t>TME-FRAN2026-RYG7984</t>
  </si>
  <si>
    <t>RYG7984_Flash_RAN_EAS R3</t>
  </si>
  <si>
    <t>RYG7984</t>
  </si>
  <si>
    <t>EP26080072</t>
  </si>
  <si>
    <t>TME-FRAN2026-RYG1830</t>
  </si>
  <si>
    <t>RYG1830_Flash_RAN_EAS R3</t>
  </si>
  <si>
    <t>RYG1830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</si>
  <si>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</si>
  <si>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</si>
  <si>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</si>
  <si>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</si>
  <si>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</si>
  <si>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</si>
  <si>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</si>
  <si>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</si>
  <si>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</si>
  <si>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</si>
  <si>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</t>
  </si>
  <si>
    <t>EP26080050</t>
  </si>
  <si>
    <t>HAE-MOD_Q326-KDSSM</t>
  </si>
  <si>
    <t>KDSSM</t>
  </si>
  <si>
    <t>EP26080051</t>
  </si>
  <si>
    <t>HAE-MOD_Q326-LPCTM</t>
  </si>
  <si>
    <t>LPCTM</t>
  </si>
  <si>
    <t>EP26080052</t>
  </si>
  <si>
    <t>HAE-MOD_Q326-MGMHM</t>
  </si>
  <si>
    <t>MGMHM</t>
  </si>
  <si>
    <t>EP26080053</t>
  </si>
  <si>
    <t>HAE-MOD_Q326-OBTNM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</si>
  <si>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</si>
  <si>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</si>
  <si>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</si>
  <si>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</si>
  <si>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</si>
  <si>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</si>
  <si>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</si>
  <si>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</si>
  <si>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</si>
  <si>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</si>
  <si>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</si>
  <si>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</t>
  </si>
  <si>
    <t>EP26080057</t>
  </si>
  <si>
    <t>HAE-MOD_Q326-SSKSM</t>
  </si>
  <si>
    <t>SSKSM_2026 Capacity Expansion Modernize_EXP_ER</t>
  </si>
  <si>
    <t>SSKSM</t>
  </si>
  <si>
    <t>EP26080058</t>
  </si>
  <si>
    <t>HAE-MOD_Q326-TBKBM</t>
  </si>
  <si>
    <t>TBKBM</t>
  </si>
  <si>
    <t>EP26080029</t>
  </si>
  <si>
    <t>HAE-Cap_Q326-PEAMM</t>
  </si>
  <si>
    <t>PEAMM_2026 Capacity Expansion Ph1_EXP_ER</t>
  </si>
  <si>
    <t>PEAMM</t>
  </si>
  <si>
    <t>EP26080027</t>
  </si>
  <si>
    <t>HAE-Cap_Q326-MNMNM</t>
  </si>
  <si>
    <t>MNMNM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</si>
  <si>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</si>
  <si>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</si>
  <si>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</si>
  <si>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</si>
  <si>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</si>
  <si>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</si>
  <si>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JKPAM_2026 Capacity Expansion Modernize_EXP_ER</t>
  </si>
  <si>
    <t>JKPAM</t>
  </si>
  <si>
    <t>EP26080063</t>
  </si>
  <si>
    <t>HAE-MOD_Q326-STMLM</t>
  </si>
  <si>
    <t>STMLM</t>
  </si>
  <si>
    <t>EP26080064</t>
  </si>
  <si>
    <t>HAE-MOD_Q326-KMCPM</t>
  </si>
  <si>
    <t>KMCPM</t>
  </si>
  <si>
    <t>EP26080065</t>
  </si>
  <si>
    <t>HAE-NEWSITE-RJLBM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</si>
  <si>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</si>
  <si>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</si>
  <si>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</si>
  <si>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</si>
  <si>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</si>
  <si>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</si>
  <si>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</si>
  <si>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</si>
  <si>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</si>
  <si>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HAE-MOD_Q326-NIRNM</t>
  </si>
  <si>
    <t>NIRNM_2025 Coverage Expansion Ph2_New Site_Remote-BBU_ER</t>
  </si>
  <si>
    <t>NIRNM</t>
  </si>
  <si>
    <t>EP26080095</t>
  </si>
  <si>
    <t>HAE-MOD_Q326-CATBM</t>
  </si>
  <si>
    <t>CATBM_2026 Capacity Expansion Modernize_EXP_ER</t>
  </si>
  <si>
    <t>CATBM</t>
  </si>
  <si>
    <t>EP26080096</t>
  </si>
  <si>
    <t>HAE-MOD_Q326-TMFTM</t>
  </si>
  <si>
    <t>TMFTM_2026 Capacity Expansion Modernize_EXP_ER</t>
  </si>
  <si>
    <t>TMFTM</t>
  </si>
  <si>
    <t>TME-FBAT2026-CBR7015</t>
  </si>
  <si>
    <t>CBR7015_Flash_Battery_EAS R3</t>
  </si>
  <si>
    <t>CBR7015</t>
  </si>
  <si>
    <t>TME-FRAN2026-CBR7015</t>
  </si>
  <si>
    <t>CBR7015_Flash_RAN_EAS R3</t>
  </si>
  <si>
    <t>TME-FRAN2026-CBR1005</t>
  </si>
  <si>
    <t>CBR1005_Flash_RAN_EAS R3</t>
  </si>
  <si>
    <t>CBR1005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</si>
  <si>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</si>
  <si>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</si>
  <si>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</si>
  <si>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</si>
  <si>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</si>
  <si>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</si>
  <si>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</si>
  <si>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</si>
  <si>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</si>
  <si>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</si>
  <si>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</si>
  <si>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</si>
  <si>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</si>
  <si>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</si>
  <si>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</si>
  <si>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</si>
  <si>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</si>
  <si>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</si>
  <si>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</si>
  <si>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Acceptance Plan AUGUST</t>
  </si>
  <si>
    <t>WEEK35</t>
  </si>
  <si>
    <t>Acctance DONE AUGUST</t>
  </si>
  <si>
    <t>Acctance Plan AC#2 WK36</t>
  </si>
  <si>
    <t>Acctance Plan AC#1 WK36</t>
  </si>
  <si>
    <t>AC1</t>
  </si>
  <si>
    <t>AC2</t>
  </si>
  <si>
    <t>REWORK REQUIRED: ALARM FOUND</t>
  </si>
  <si>
    <t>สรุปผลการดำเนินงานโครงการติดตั้งโครงข่ายโทรคมนาคม HAE และ TME ประจำสัปดาห์ที่ 36</t>
  </si>
  <si>
    <t>Overall Team Install WK36</t>
  </si>
  <si>
    <t>จำนวนงานติดตั้ง Completed WEEK 36</t>
  </si>
  <si>
    <t>EP26090023</t>
  </si>
  <si>
    <t>EP26090024</t>
  </si>
  <si>
    <t>EP26090025</t>
  </si>
  <si>
    <t>Plan: Action Plan AC#1 WK36</t>
  </si>
  <si>
    <t>Plan: Action Plan AC#2 WK36</t>
  </si>
  <si>
    <t>Plan: Action Plan TOTAL WK36</t>
  </si>
  <si>
    <t>Action Plan TOTAL WK36</t>
  </si>
  <si>
    <t>Backlog Backlog Week 35 VS Backlog Week 36</t>
  </si>
  <si>
    <t>Backlog Week 36</t>
  </si>
  <si>
    <t>4 วัน</t>
  </si>
  <si>
    <t>No rework required 🎉</t>
  </si>
  <si>
    <t>15 วัน</t>
  </si>
  <si>
    <t>2 วัน</t>
  </si>
  <si>
    <t>WEEK36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</si>
</sst>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L9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36</v>
      </c>
      <c r="E2" t="s">
        <v>1641</v>
      </c>
    </row>
    <row r="3" spans="1:5" x14ac:dyDescent="0.25">
      <c r="A3" t="s">
        <v>5</v>
      </c>
      <c r="B3" t="s">
        <v>8</v>
      </c>
      <c r="C3" t="s">
        <v>9</v>
      </c>
      <c r="D3">
        <f>'Part 2 - Aging'!D3</f>
        <v>3.1306306306306309</v>
      </c>
      <c r="E3" t="s">
        <v>10</v>
      </c>
    </row>
    <row r="4" spans="1:5" x14ac:dyDescent="0.25">
      <c r="A4" t="s">
        <v>5</v>
      </c>
      <c r="B4" t="s">
        <v>8</v>
      </c>
      <c r="C4" t="s">
        <v>11</v>
      </c>
      <c r="D4">
        <f>'Part 2 - Aging'!D5</f>
        <v>15.031578947368422</v>
      </c>
      <c r="E4" t="s">
        <v>12</v>
      </c>
    </row>
    <row r="5" spans="1:5" x14ac:dyDescent="0.25">
      <c r="A5" t="s">
        <v>13</v>
      </c>
      <c r="B5" t="s">
        <v>14</v>
      </c>
      <c r="C5" t="s">
        <v>15</v>
      </c>
      <c r="E5" t="s">
        <v>16</v>
      </c>
    </row>
    <row r="6" spans="1:5" x14ac:dyDescent="0.25">
      <c r="A6" t="s">
        <v>13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13</v>
      </c>
      <c r="B7" t="s">
        <v>21</v>
      </c>
      <c r="C7" t="s">
        <v>22</v>
      </c>
      <c r="D7" t="s">
        <v>19</v>
      </c>
      <c r="E7" t="s">
        <v>23</v>
      </c>
    </row>
    <row r="8" spans="1:5" x14ac:dyDescent="0.25">
      <c r="A8" t="s">
        <v>13</v>
      </c>
      <c r="B8" t="s">
        <v>24</v>
      </c>
      <c r="C8" t="s">
        <v>25</v>
      </c>
      <c r="D8" t="s">
        <v>19</v>
      </c>
      <c r="E8" t="s">
        <v>26</v>
      </c>
    </row>
  </sheetData>
  <pageMargins left="0.7" right="0.7" top="0.75" bottom="0.75" header="0.3" footer="0.3"/>
  <ignoredErrors>
    <ignoredError sqref="A1:E1 A3:E8 A2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I12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7" x14ac:dyDescent="0.25">
      <c r="A2" t="s">
        <v>30</v>
      </c>
      <c r="B2" t="s">
        <v>31</v>
      </c>
      <c r="C2" t="s">
        <v>32</v>
      </c>
      <c r="D2" t="s">
        <v>19</v>
      </c>
      <c r="E2" t="s">
        <v>33</v>
      </c>
    </row>
    <row r="3" spans="1:7" x14ac:dyDescent="0.25">
      <c r="A3" t="s">
        <v>34</v>
      </c>
      <c r="B3" t="s">
        <v>35</v>
      </c>
      <c r="C3" t="s">
        <v>36</v>
      </c>
      <c r="D3">
        <f>AVERAGEIF('2026'!G:G,"HAE",'2026'!BD:BD)</f>
        <v>3.1306306306306309</v>
      </c>
      <c r="E3" t="s">
        <v>37</v>
      </c>
      <c r="G3" t="s">
        <v>38</v>
      </c>
    </row>
    <row r="4" spans="1:7" x14ac:dyDescent="0.25">
      <c r="A4" t="s">
        <v>34</v>
      </c>
      <c r="B4" t="s">
        <v>39</v>
      </c>
      <c r="C4" t="s">
        <v>40</v>
      </c>
      <c r="D4">
        <f>AVERAGEIF('2026'!G:G,"HAE",'2026'!BE:BE)</f>
        <v>6.6576576576576576</v>
      </c>
      <c r="E4" t="s">
        <v>41</v>
      </c>
      <c r="G4" t="s">
        <v>38</v>
      </c>
    </row>
    <row r="5" spans="1:7" x14ac:dyDescent="0.25">
      <c r="A5" t="s">
        <v>42</v>
      </c>
      <c r="B5" t="s">
        <v>43</v>
      </c>
      <c r="C5" t="s">
        <v>44</v>
      </c>
      <c r="D5">
        <f>AVERAGEIF('2026'!G:G,"TME",'2026'!BE:BE)</f>
        <v>15.031578947368422</v>
      </c>
      <c r="E5" t="s">
        <v>45</v>
      </c>
      <c r="G5" t="s">
        <v>46</v>
      </c>
    </row>
    <row r="6" spans="1:7" x14ac:dyDescent="0.25">
      <c r="A6" t="s">
        <v>42</v>
      </c>
      <c r="B6" t="s">
        <v>47</v>
      </c>
      <c r="C6" t="s">
        <v>48</v>
      </c>
      <c r="D6">
        <v>17.12</v>
      </c>
      <c r="E6" t="s">
        <v>49</v>
      </c>
      <c r="G6" t="s">
        <v>50</v>
      </c>
    </row>
    <row r="7" spans="1:7" x14ac:dyDescent="0.25">
      <c r="A7" t="s">
        <v>42</v>
      </c>
      <c r="B7" t="s">
        <v>51</v>
      </c>
      <c r="C7" t="s">
        <v>48</v>
      </c>
      <c r="D7">
        <v>3.5</v>
      </c>
      <c r="E7" t="s">
        <v>52</v>
      </c>
      <c r="G7" t="s">
        <v>46</v>
      </c>
    </row>
    <row r="8" spans="1:7" x14ac:dyDescent="0.25">
      <c r="A8" t="s">
        <v>53</v>
      </c>
      <c r="B8" t="s">
        <v>54</v>
      </c>
      <c r="C8" t="s">
        <v>55</v>
      </c>
      <c r="D8">
        <f>AVERAGE(D3:D4)</f>
        <v>4.8941441441441444</v>
      </c>
      <c r="E8" t="s">
        <v>38</v>
      </c>
    </row>
    <row r="9" spans="1:7" x14ac:dyDescent="0.25">
      <c r="A9" t="s">
        <v>53</v>
      </c>
      <c r="B9" t="s">
        <v>56</v>
      </c>
      <c r="C9" t="s">
        <v>57</v>
      </c>
      <c r="D9">
        <f>AVERAGE(D4:D5)</f>
        <v>10.844618302513039</v>
      </c>
      <c r="E9" t="s">
        <v>38</v>
      </c>
    </row>
    <row r="10" spans="1:7" x14ac:dyDescent="0.25">
      <c r="A10" t="s">
        <v>58</v>
      </c>
      <c r="B10" t="s">
        <v>59</v>
      </c>
      <c r="C10" t="s">
        <v>57</v>
      </c>
      <c r="D10">
        <f>AVERAGEIF('2026'!R:R,"Palagon Prommueangma",'2026'!BD:BD)</f>
        <v>4</v>
      </c>
      <c r="E10" t="s">
        <v>38</v>
      </c>
    </row>
    <row r="11" spans="1:7" x14ac:dyDescent="0.25">
      <c r="A11" t="s">
        <v>58</v>
      </c>
      <c r="B11" t="s">
        <v>60</v>
      </c>
      <c r="C11" t="s">
        <v>61</v>
      </c>
      <c r="D11">
        <v>5.37</v>
      </c>
      <c r="E11" t="s">
        <v>46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10"/>
    </sheetView>
  </sheetViews>
  <sheetFormatPr defaultRowHeight="15.75" x14ac:dyDescent="0.25"/>
  <cols>
    <col min="1" max="1" width="7.5" bestFit="1" customWidth="1"/>
    <col min="2" max="2" width="28.75" bestFit="1" customWidth="1"/>
    <col min="3" max="3" width="22.875" bestFit="1" customWidth="1"/>
    <col min="4" max="4" width="12.25" bestFit="1" customWidth="1"/>
    <col min="5" max="5" width="10.875" bestFit="1" customWidth="1"/>
    <col min="6" max="6" width="11.87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29</v>
      </c>
    </row>
    <row r="2" spans="1:7" x14ac:dyDescent="0.25">
      <c r="A2" t="s">
        <v>66</v>
      </c>
      <c r="B2" t="s">
        <v>68</v>
      </c>
      <c r="C2" t="s">
        <v>68</v>
      </c>
      <c r="D2">
        <v>145006</v>
      </c>
      <c r="F2">
        <v>6</v>
      </c>
      <c r="G2" t="s">
        <v>67</v>
      </c>
    </row>
    <row r="3" spans="1:7" x14ac:dyDescent="0.25">
      <c r="A3" t="s">
        <v>66</v>
      </c>
      <c r="B3" t="s">
        <v>1642</v>
      </c>
      <c r="C3" t="s">
        <v>1642</v>
      </c>
      <c r="D3">
        <v>73027</v>
      </c>
      <c r="F3">
        <v>3</v>
      </c>
      <c r="G3" t="s">
        <v>1643</v>
      </c>
    </row>
    <row r="4" spans="1:7" x14ac:dyDescent="0.25">
      <c r="A4" t="s">
        <v>69</v>
      </c>
      <c r="B4" t="s">
        <v>70</v>
      </c>
      <c r="C4" t="s">
        <v>71</v>
      </c>
      <c r="D4" t="s">
        <v>19</v>
      </c>
      <c r="E4" t="s">
        <v>19</v>
      </c>
      <c r="F4">
        <f>AVERAGEIF('2026'!S:S, "น.ส. หทัยรัตน์ สิงห์แก้ว",'2026'!BE:BE)</f>
        <v>8.2592592592592595</v>
      </c>
      <c r="G4" t="s">
        <v>72</v>
      </c>
    </row>
    <row r="5" spans="1:7" x14ac:dyDescent="0.25">
      <c r="A5" t="s">
        <v>69</v>
      </c>
      <c r="B5" t="s">
        <v>73</v>
      </c>
      <c r="C5" t="s">
        <v>74</v>
      </c>
      <c r="D5" t="s">
        <v>19</v>
      </c>
      <c r="E5" t="s">
        <v>19</v>
      </c>
      <c r="F5">
        <f>AVERAGEIF('2026'!S:S, "Sermsiri  Bampentam",'2026'!BE:BE)</f>
        <v>14</v>
      </c>
      <c r="G5" t="s">
        <v>75</v>
      </c>
    </row>
    <row r="6" spans="1:7" x14ac:dyDescent="0.25">
      <c r="A6" t="s">
        <v>69</v>
      </c>
      <c r="B6" t="s">
        <v>76</v>
      </c>
      <c r="C6" t="s">
        <v>77</v>
      </c>
      <c r="D6" t="s">
        <v>19</v>
      </c>
      <c r="E6" t="s">
        <v>19</v>
      </c>
      <c r="F6">
        <f>AVERAGEIF('2026'!S:S, "Apichart Kampuang",'2026'!BE:BE)</f>
        <v>5.7586206896551726</v>
      </c>
      <c r="G6" t="s">
        <v>78</v>
      </c>
    </row>
    <row r="7" spans="1:7" x14ac:dyDescent="0.25">
      <c r="A7" t="s">
        <v>79</v>
      </c>
      <c r="B7" t="s">
        <v>80</v>
      </c>
      <c r="C7" t="s">
        <v>81</v>
      </c>
      <c r="D7">
        <f>'2026'!AB2*0.7</f>
        <v>3694341.98</v>
      </c>
      <c r="E7">
        <f>'2026'!BH2</f>
        <v>3385456.3199999928</v>
      </c>
      <c r="F7">
        <f>AVERAGE('2026'!BJ4:BJ258)</f>
        <v>14.301652892561984</v>
      </c>
    </row>
    <row r="8" spans="1:7" x14ac:dyDescent="0.25">
      <c r="A8" t="s">
        <v>79</v>
      </c>
      <c r="B8" t="s">
        <v>82</v>
      </c>
      <c r="C8" t="s">
        <v>83</v>
      </c>
      <c r="D8">
        <f>'2026'!AB2*0.3</f>
        <v>1583289.4200000002</v>
      </c>
      <c r="E8">
        <f>'2026'!BK2</f>
        <v>782067.07999999891</v>
      </c>
      <c r="F8">
        <f>AVERAGE('2026'!BM4:BM258)</f>
        <v>58.412037037037038</v>
      </c>
    </row>
    <row r="9" spans="1:7" x14ac:dyDescent="0.25">
      <c r="A9" t="s">
        <v>84</v>
      </c>
      <c r="B9" t="s">
        <v>85</v>
      </c>
      <c r="C9" t="s">
        <v>86</v>
      </c>
      <c r="D9" t="s">
        <v>19</v>
      </c>
      <c r="E9" t="s">
        <v>19</v>
      </c>
      <c r="G9" t="s">
        <v>87</v>
      </c>
    </row>
  </sheetData>
  <pageMargins left="0.7" right="0.7" top="0.75" bottom="0.75" header="0.3" footer="0.3"/>
  <ignoredErrors>
    <ignoredError sqref="A1:G1 A4:G9 A2 G2 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opLeftCell="A31" workbookViewId="0">
      <selection sqref="A1:G45"/>
    </sheetView>
  </sheetViews>
  <sheetFormatPr defaultRowHeight="15.75" x14ac:dyDescent="0.25"/>
  <cols>
    <col min="1" max="1" width="7.5" bestFit="1" customWidth="1"/>
    <col min="2" max="3" width="43.75" bestFit="1" customWidth="1"/>
    <col min="4" max="4" width="11.875" bestFit="1" customWidth="1"/>
    <col min="5" max="5" width="53.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88</v>
      </c>
      <c r="D1" t="s">
        <v>89</v>
      </c>
      <c r="E1" t="s">
        <v>29</v>
      </c>
    </row>
    <row r="2" spans="1:5" x14ac:dyDescent="0.25">
      <c r="A2" t="s">
        <v>90</v>
      </c>
      <c r="B2" t="s">
        <v>91</v>
      </c>
      <c r="C2" t="s">
        <v>92</v>
      </c>
      <c r="D2">
        <f>'2026'!AB2</f>
        <v>5277631.4000000004</v>
      </c>
      <c r="E2" t="s">
        <v>93</v>
      </c>
    </row>
    <row r="3" spans="1:5" x14ac:dyDescent="0.25">
      <c r="A3" t="s">
        <v>90</v>
      </c>
      <c r="B3" t="s">
        <v>94</v>
      </c>
      <c r="C3" t="s">
        <v>95</v>
      </c>
      <c r="D3">
        <f>'2026'!AR2</f>
        <v>1916244.0599999987</v>
      </c>
      <c r="E3" t="s">
        <v>96</v>
      </c>
    </row>
    <row r="4" spans="1:5" x14ac:dyDescent="0.25">
      <c r="A4" t="s">
        <v>90</v>
      </c>
      <c r="B4" t="s">
        <v>94</v>
      </c>
      <c r="C4" t="s">
        <v>97</v>
      </c>
      <c r="D4">
        <f>'2026'!AS2</f>
        <v>540628.5</v>
      </c>
      <c r="E4" t="s">
        <v>98</v>
      </c>
    </row>
    <row r="5" spans="1:5" x14ac:dyDescent="0.25">
      <c r="A5" t="s">
        <v>90</v>
      </c>
      <c r="B5" t="s">
        <v>99</v>
      </c>
      <c r="C5" t="s">
        <v>100</v>
      </c>
      <c r="D5">
        <f>D2-(D3+D4)</f>
        <v>2820758.8400000017</v>
      </c>
      <c r="E5" t="s">
        <v>101</v>
      </c>
    </row>
    <row r="6" spans="1:5" x14ac:dyDescent="0.25">
      <c r="A6" t="s">
        <v>102</v>
      </c>
      <c r="B6" t="s">
        <v>1651</v>
      </c>
      <c r="C6" t="s">
        <v>104</v>
      </c>
      <c r="D6">
        <f>Sheet1!N10</f>
        <v>1529546.0599999987</v>
      </c>
      <c r="E6" t="s">
        <v>103</v>
      </c>
    </row>
    <row r="7" spans="1:5" x14ac:dyDescent="0.25">
      <c r="A7" t="s">
        <v>102</v>
      </c>
      <c r="B7" t="s">
        <v>1651</v>
      </c>
      <c r="C7" t="s">
        <v>1652</v>
      </c>
      <c r="D7">
        <f>Sheet1!N20</f>
        <v>1362832.0900000003</v>
      </c>
      <c r="E7" t="s">
        <v>105</v>
      </c>
    </row>
    <row r="8" spans="1:5" x14ac:dyDescent="0.25">
      <c r="A8" t="s">
        <v>106</v>
      </c>
      <c r="B8" t="s">
        <v>107</v>
      </c>
      <c r="C8" t="s">
        <v>107</v>
      </c>
      <c r="D8">
        <v>200182.15</v>
      </c>
      <c r="E8" t="s">
        <v>108</v>
      </c>
    </row>
    <row r="9" spans="1:5" x14ac:dyDescent="0.25">
      <c r="A9" t="s">
        <v>106</v>
      </c>
      <c r="B9" t="s">
        <v>109</v>
      </c>
      <c r="C9" t="s">
        <v>109</v>
      </c>
      <c r="D9">
        <v>574611.79999999958</v>
      </c>
      <c r="E9" t="s">
        <v>110</v>
      </c>
    </row>
    <row r="10" spans="1:5" x14ac:dyDescent="0.25">
      <c r="A10" t="s">
        <v>106</v>
      </c>
      <c r="B10" t="s">
        <v>111</v>
      </c>
      <c r="C10" t="s">
        <v>111</v>
      </c>
      <c r="D10">
        <v>321841.30000000016</v>
      </c>
      <c r="E10" t="s">
        <v>112</v>
      </c>
    </row>
    <row r="11" spans="1:5" x14ac:dyDescent="0.25">
      <c r="A11" t="s">
        <v>106</v>
      </c>
      <c r="B11" t="s">
        <v>113</v>
      </c>
      <c r="C11" t="s">
        <v>113</v>
      </c>
      <c r="D11">
        <v>390171.6</v>
      </c>
      <c r="E11" t="s">
        <v>114</v>
      </c>
    </row>
    <row r="12" spans="1:5" x14ac:dyDescent="0.25">
      <c r="A12" t="s">
        <v>106</v>
      </c>
      <c r="B12" t="s">
        <v>115</v>
      </c>
      <c r="C12" t="s">
        <v>115</v>
      </c>
      <c r="D12">
        <v>346396.40000000031</v>
      </c>
      <c r="E12" t="s">
        <v>116</v>
      </c>
    </row>
    <row r="13" spans="1:5" x14ac:dyDescent="0.25">
      <c r="A13" t="s">
        <v>117</v>
      </c>
      <c r="B13" t="s">
        <v>118</v>
      </c>
      <c r="C13" t="s">
        <v>118</v>
      </c>
      <c r="D13">
        <v>6126104.7400000002</v>
      </c>
      <c r="E13" t="s">
        <v>119</v>
      </c>
    </row>
    <row r="14" spans="1:5" x14ac:dyDescent="0.25">
      <c r="A14" t="s">
        <v>117</v>
      </c>
      <c r="B14" t="s">
        <v>120</v>
      </c>
      <c r="C14" t="s">
        <v>120</v>
      </c>
      <c r="D14">
        <v>6982082.2116510943</v>
      </c>
      <c r="E14" t="s">
        <v>121</v>
      </c>
    </row>
    <row r="15" spans="1:5" x14ac:dyDescent="0.25">
      <c r="A15" t="s">
        <v>122</v>
      </c>
      <c r="B15" t="s">
        <v>1647</v>
      </c>
      <c r="C15" t="s">
        <v>128</v>
      </c>
      <c r="D15">
        <v>182483.00000000003</v>
      </c>
      <c r="E15" t="s">
        <v>123</v>
      </c>
    </row>
    <row r="16" spans="1:5" x14ac:dyDescent="0.25">
      <c r="A16" t="s">
        <v>122</v>
      </c>
      <c r="B16" t="s">
        <v>1648</v>
      </c>
      <c r="C16" t="s">
        <v>141</v>
      </c>
      <c r="D16">
        <v>139847.40000000002</v>
      </c>
      <c r="E16" t="s">
        <v>124</v>
      </c>
    </row>
    <row r="17" spans="1:7" x14ac:dyDescent="0.25">
      <c r="A17" t="s">
        <v>122</v>
      </c>
      <c r="B17" t="s">
        <v>1649</v>
      </c>
      <c r="C17" t="s">
        <v>1650</v>
      </c>
      <c r="D17">
        <f>SUM(D15:D16)</f>
        <v>322330.40000000002</v>
      </c>
      <c r="E17" t="s">
        <v>125</v>
      </c>
    </row>
    <row r="18" spans="1:7" x14ac:dyDescent="0.25">
      <c r="A18" t="s">
        <v>126</v>
      </c>
      <c r="B18" t="s">
        <v>127</v>
      </c>
      <c r="C18" t="s">
        <v>128</v>
      </c>
      <c r="D18">
        <f>Sheet1!R27</f>
        <v>0</v>
      </c>
      <c r="E18" t="s">
        <v>129</v>
      </c>
    </row>
    <row r="19" spans="1:7" x14ac:dyDescent="0.25">
      <c r="A19" t="s">
        <v>126</v>
      </c>
      <c r="B19" t="s">
        <v>130</v>
      </c>
      <c r="C19" t="s">
        <v>128</v>
      </c>
      <c r="D19">
        <f>Sheet1!R28</f>
        <v>0</v>
      </c>
      <c r="E19" t="s">
        <v>131</v>
      </c>
    </row>
    <row r="20" spans="1:7" x14ac:dyDescent="0.25">
      <c r="A20" t="s">
        <v>126</v>
      </c>
      <c r="B20" t="s">
        <v>132</v>
      </c>
      <c r="C20" t="s">
        <v>128</v>
      </c>
      <c r="D20">
        <f>Sheet1!R29</f>
        <v>0</v>
      </c>
      <c r="E20" t="s">
        <v>133</v>
      </c>
    </row>
    <row r="21" spans="1:7" x14ac:dyDescent="0.25">
      <c r="A21" t="s">
        <v>126</v>
      </c>
      <c r="B21" t="s">
        <v>134</v>
      </c>
      <c r="C21" t="s">
        <v>128</v>
      </c>
      <c r="D21">
        <v>85350.299999999988</v>
      </c>
      <c r="E21" t="s">
        <v>135</v>
      </c>
    </row>
    <row r="22" spans="1:7" x14ac:dyDescent="0.25">
      <c r="A22" t="s">
        <v>126</v>
      </c>
      <c r="B22" t="s">
        <v>136</v>
      </c>
      <c r="C22" t="s">
        <v>137</v>
      </c>
      <c r="D22">
        <f>SUM(D18:D21)</f>
        <v>85350.299999999988</v>
      </c>
      <c r="E22" t="s">
        <v>138</v>
      </c>
    </row>
    <row r="23" spans="1:7" x14ac:dyDescent="0.25">
      <c r="A23" t="s">
        <v>139</v>
      </c>
      <c r="B23" t="s">
        <v>140</v>
      </c>
      <c r="C23" t="s">
        <v>141</v>
      </c>
      <c r="D23">
        <f>Sheet1!R32</f>
        <v>0</v>
      </c>
      <c r="E23" t="s">
        <v>129</v>
      </c>
    </row>
    <row r="24" spans="1:7" x14ac:dyDescent="0.25">
      <c r="A24" t="s">
        <v>139</v>
      </c>
      <c r="B24" t="s">
        <v>142</v>
      </c>
      <c r="C24" t="s">
        <v>141</v>
      </c>
      <c r="D24">
        <f>Sheet1!R33</f>
        <v>0</v>
      </c>
      <c r="E24" t="s">
        <v>131</v>
      </c>
    </row>
    <row r="25" spans="1:7" x14ac:dyDescent="0.25">
      <c r="A25" t="s">
        <v>139</v>
      </c>
      <c r="B25" t="s">
        <v>143</v>
      </c>
      <c r="C25" t="s">
        <v>141</v>
      </c>
      <c r="E25" t="s">
        <v>133</v>
      </c>
    </row>
    <row r="26" spans="1:7" x14ac:dyDescent="0.25">
      <c r="A26" t="s">
        <v>139</v>
      </c>
      <c r="B26" t="s">
        <v>144</v>
      </c>
      <c r="C26" t="s">
        <v>141</v>
      </c>
      <c r="D26">
        <v>68127.599999999991</v>
      </c>
      <c r="E26" t="s">
        <v>135</v>
      </c>
    </row>
    <row r="27" spans="1:7" x14ac:dyDescent="0.25">
      <c r="A27" t="s">
        <v>139</v>
      </c>
      <c r="B27" t="s">
        <v>145</v>
      </c>
      <c r="C27" t="s">
        <v>146</v>
      </c>
      <c r="D27">
        <f>SUM(D23:D26)</f>
        <v>68127.599999999991</v>
      </c>
      <c r="E27" t="s">
        <v>147</v>
      </c>
    </row>
    <row r="28" spans="1:7" x14ac:dyDescent="0.25">
      <c r="A28" t="s">
        <v>148</v>
      </c>
      <c r="B28" t="s">
        <v>149</v>
      </c>
      <c r="C28" t="s">
        <v>150</v>
      </c>
      <c r="D28">
        <f>SUMIF('2026'!BP:BP,'Part 4 - Financials'!F28&amp;'Part 4 - Financials'!G28,'2026'!AB:AB)</f>
        <v>501518</v>
      </c>
      <c r="E28" t="s">
        <v>151</v>
      </c>
      <c r="F28" t="s">
        <v>152</v>
      </c>
      <c r="G28" t="s">
        <v>153</v>
      </c>
    </row>
    <row r="29" spans="1:7" x14ac:dyDescent="0.25">
      <c r="A29" t="s">
        <v>148</v>
      </c>
      <c r="B29" t="s">
        <v>149</v>
      </c>
      <c r="C29" t="s">
        <v>154</v>
      </c>
      <c r="D29">
        <f>SUMIF('2026'!BP:BP,'Part 4 - Financials'!F29&amp;'Part 4 - Financials'!G29,'2026'!AB:AB)</f>
        <v>225486.40000000002</v>
      </c>
      <c r="E29" t="s">
        <v>151</v>
      </c>
      <c r="F29" t="s">
        <v>152</v>
      </c>
      <c r="G29" t="s">
        <v>155</v>
      </c>
    </row>
    <row r="30" spans="1:7" x14ac:dyDescent="0.25">
      <c r="A30" t="s">
        <v>148</v>
      </c>
      <c r="B30" t="s">
        <v>149</v>
      </c>
      <c r="C30" t="s">
        <v>156</v>
      </c>
      <c r="D30">
        <f>SUMIF('2026'!BP:BP,'Part 4 - Financials'!F30&amp;'Part 4 - Financials'!G30,'2026'!AB:AB)</f>
        <v>10214</v>
      </c>
      <c r="E30" t="s">
        <v>151</v>
      </c>
      <c r="F30" t="s">
        <v>152</v>
      </c>
      <c r="G30" t="s">
        <v>157</v>
      </c>
    </row>
    <row r="31" spans="1:7" x14ac:dyDescent="0.25">
      <c r="A31" t="s">
        <v>148</v>
      </c>
      <c r="B31" t="s">
        <v>149</v>
      </c>
      <c r="C31" t="s">
        <v>158</v>
      </c>
      <c r="D31">
        <f>SUMIF('2026'!BP:BP,'Part 4 - Financials'!F31&amp;'Part 4 - Financials'!G31,'2026'!AB:AB)</f>
        <v>4540413</v>
      </c>
      <c r="E31" t="s">
        <v>151</v>
      </c>
      <c r="F31" t="s">
        <v>159</v>
      </c>
      <c r="G31" t="s">
        <v>153</v>
      </c>
    </row>
    <row r="32" spans="1:7" x14ac:dyDescent="0.25">
      <c r="A32" t="s">
        <v>148</v>
      </c>
      <c r="B32" t="s">
        <v>149</v>
      </c>
      <c r="C32" t="s">
        <v>160</v>
      </c>
      <c r="D32">
        <f>SUMIF('2026'!BP:BP,'Part 4 - Financials'!F32&amp;'Part 4 - Financials'!G32,'2026'!AB:AB)</f>
        <v>0</v>
      </c>
      <c r="E32" t="s">
        <v>151</v>
      </c>
      <c r="F32" t="s">
        <v>161</v>
      </c>
      <c r="G32" t="s">
        <v>162</v>
      </c>
    </row>
    <row r="33" spans="1:5" x14ac:dyDescent="0.25">
      <c r="A33" t="s">
        <v>163</v>
      </c>
      <c r="B33" t="s">
        <v>164</v>
      </c>
      <c r="C33" t="s">
        <v>165</v>
      </c>
      <c r="D33">
        <f>Sheet1!E16</f>
        <v>25739.039999999997</v>
      </c>
      <c r="E33" t="s">
        <v>129</v>
      </c>
    </row>
    <row r="34" spans="1:5" x14ac:dyDescent="0.25">
      <c r="A34" t="s">
        <v>163</v>
      </c>
      <c r="B34" t="s">
        <v>166</v>
      </c>
      <c r="C34" t="s">
        <v>165</v>
      </c>
      <c r="D34">
        <f>Sheet1!E17</f>
        <v>7724.4299999999994</v>
      </c>
      <c r="E34" t="s">
        <v>131</v>
      </c>
    </row>
    <row r="35" spans="1:5" x14ac:dyDescent="0.25">
      <c r="A35" t="s">
        <v>163</v>
      </c>
      <c r="B35" t="s">
        <v>167</v>
      </c>
      <c r="C35" t="s">
        <v>165</v>
      </c>
      <c r="D35">
        <f>Sheet1!E18</f>
        <v>27600</v>
      </c>
      <c r="E35" t="s">
        <v>133</v>
      </c>
    </row>
    <row r="36" spans="1:5" x14ac:dyDescent="0.25">
      <c r="A36" t="s">
        <v>163</v>
      </c>
      <c r="B36" t="s">
        <v>168</v>
      </c>
      <c r="C36" t="s">
        <v>165</v>
      </c>
      <c r="D36">
        <f>Sheet1!E19</f>
        <v>142200.50000000012</v>
      </c>
      <c r="E36" t="s">
        <v>135</v>
      </c>
    </row>
    <row r="37" spans="1:5" x14ac:dyDescent="0.25">
      <c r="A37" t="s">
        <v>163</v>
      </c>
      <c r="B37" t="s">
        <v>169</v>
      </c>
      <c r="C37" t="s">
        <v>170</v>
      </c>
      <c r="D37">
        <f>Sheet1!K16</f>
        <v>112782</v>
      </c>
      <c r="E37" t="s">
        <v>129</v>
      </c>
    </row>
    <row r="38" spans="1:5" x14ac:dyDescent="0.25">
      <c r="A38" t="s">
        <v>163</v>
      </c>
      <c r="B38" t="s">
        <v>171</v>
      </c>
      <c r="C38" t="s">
        <v>170</v>
      </c>
      <c r="D38">
        <f>Sheet1!K17</f>
        <v>60400</v>
      </c>
      <c r="E38" t="s">
        <v>131</v>
      </c>
    </row>
    <row r="39" spans="1:5" x14ac:dyDescent="0.25">
      <c r="A39" t="s">
        <v>163</v>
      </c>
      <c r="B39" t="s">
        <v>172</v>
      </c>
      <c r="C39" t="s">
        <v>170</v>
      </c>
      <c r="D39">
        <f>Sheet1!K18</f>
        <v>57762</v>
      </c>
      <c r="E39" t="s">
        <v>133</v>
      </c>
    </row>
    <row r="40" spans="1:5" x14ac:dyDescent="0.25">
      <c r="A40" t="s">
        <v>163</v>
      </c>
      <c r="B40" t="s">
        <v>173</v>
      </c>
      <c r="C40" t="s">
        <v>170</v>
      </c>
      <c r="D40">
        <f>Sheet1!K19</f>
        <v>768097</v>
      </c>
      <c r="E40" t="s">
        <v>135</v>
      </c>
    </row>
    <row r="41" spans="1:5" x14ac:dyDescent="0.25">
      <c r="A41" t="s">
        <v>163</v>
      </c>
      <c r="B41" t="s">
        <v>174</v>
      </c>
      <c r="C41" t="s">
        <v>174</v>
      </c>
      <c r="D41">
        <f>SUM(D33:D40)</f>
        <v>1202304.9700000002</v>
      </c>
    </row>
    <row r="42" spans="1:5" x14ac:dyDescent="0.25">
      <c r="A42" t="s">
        <v>175</v>
      </c>
      <c r="B42" t="s">
        <v>176</v>
      </c>
      <c r="C42" t="s">
        <v>177</v>
      </c>
      <c r="D42">
        <v>977310.27999999991</v>
      </c>
      <c r="E42" t="s">
        <v>177</v>
      </c>
    </row>
    <row r="43" spans="1:5" x14ac:dyDescent="0.25">
      <c r="A43" t="s">
        <v>175</v>
      </c>
      <c r="B43" t="s">
        <v>178</v>
      </c>
      <c r="C43" t="s">
        <v>179</v>
      </c>
      <c r="D43">
        <f>SUM(D8:D12)</f>
        <v>1833203.25</v>
      </c>
      <c r="E43" t="s">
        <v>179</v>
      </c>
    </row>
  </sheetData>
  <pageMargins left="0.7" right="0.7" top="0.75" bottom="0.75" header="0.3" footer="0.3"/>
  <ignoredErrors>
    <ignoredError sqref="A1:G5 A18:G20 A15 E15:G15 A16 E16:G16 A17 D17:G17 A8:G14 A6 D6:G6 A7 D7:G7 A22:G24 A21:C21 E21:G21 A27:G43 A26:C26 E26:G26 A25:C25 E25:G2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180</v>
      </c>
      <c r="E1" t="s">
        <v>181</v>
      </c>
    </row>
  </sheetData>
  <pageMargins left="0.7" right="0.7" top="0.75" bottom="0.75" header="0.3" footer="0.3"/>
  <ignoredErrors>
    <ignoredError sqref="A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>
      <selection sqref="A1:P34"/>
    </sheetView>
  </sheetViews>
  <sheetFormatPr defaultRowHeight="15.75" x14ac:dyDescent="0.25"/>
  <sheetData>
    <row r="1" spans="1:7" x14ac:dyDescent="0.25">
      <c r="A1" t="s">
        <v>182</v>
      </c>
      <c r="E1" t="s">
        <v>183</v>
      </c>
    </row>
    <row r="2" spans="1:7" x14ac:dyDescent="0.25">
      <c r="A2" t="s">
        <v>184</v>
      </c>
      <c r="B2" t="s">
        <v>185</v>
      </c>
      <c r="C2" t="s">
        <v>186</v>
      </c>
      <c r="E2" t="s">
        <v>184</v>
      </c>
      <c r="F2" t="s">
        <v>185</v>
      </c>
      <c r="G2" t="s">
        <v>186</v>
      </c>
    </row>
    <row r="3" spans="1:7" x14ac:dyDescent="0.25">
      <c r="A3" t="s">
        <v>187</v>
      </c>
      <c r="B3">
        <v>136</v>
      </c>
      <c r="C3">
        <v>1</v>
      </c>
      <c r="E3" t="s">
        <v>188</v>
      </c>
      <c r="F3">
        <v>119</v>
      </c>
      <c r="G3">
        <v>3.2</v>
      </c>
    </row>
    <row r="4" spans="1:7" x14ac:dyDescent="0.25">
      <c r="A4" t="s">
        <v>189</v>
      </c>
      <c r="B4">
        <v>63</v>
      </c>
      <c r="C4">
        <v>6.7</v>
      </c>
      <c r="E4" t="s">
        <v>190</v>
      </c>
      <c r="F4">
        <v>80</v>
      </c>
      <c r="G4">
        <v>10.7</v>
      </c>
    </row>
    <row r="5" spans="1:7" x14ac:dyDescent="0.25">
      <c r="A5" t="s">
        <v>191</v>
      </c>
      <c r="B5">
        <v>0</v>
      </c>
      <c r="C5">
        <v>0</v>
      </c>
      <c r="E5" t="s">
        <v>192</v>
      </c>
      <c r="F5">
        <v>0</v>
      </c>
      <c r="G5">
        <v>0</v>
      </c>
    </row>
    <row r="6" spans="1:7" x14ac:dyDescent="0.25">
      <c r="A6" t="s">
        <v>193</v>
      </c>
      <c r="B6">
        <v>0</v>
      </c>
      <c r="C6">
        <v>0</v>
      </c>
      <c r="E6" t="s">
        <v>193</v>
      </c>
      <c r="F6">
        <v>0</v>
      </c>
      <c r="G6">
        <v>0</v>
      </c>
    </row>
    <row r="22" spans="1:11" x14ac:dyDescent="0.25">
      <c r="A22" t="s">
        <v>194</v>
      </c>
      <c r="E22" t="s">
        <v>195</v>
      </c>
      <c r="G22" t="s">
        <v>196</v>
      </c>
      <c r="I22" t="s">
        <v>197</v>
      </c>
      <c r="K22" t="s">
        <v>196</v>
      </c>
    </row>
    <row r="23" spans="1:11" x14ac:dyDescent="0.25">
      <c r="A23" t="s">
        <v>198</v>
      </c>
      <c r="B23" t="s">
        <v>199</v>
      </c>
      <c r="E23" t="s">
        <v>198</v>
      </c>
      <c r="F23" t="s">
        <v>199</v>
      </c>
      <c r="G23" t="s">
        <v>200</v>
      </c>
      <c r="I23" t="s">
        <v>198</v>
      </c>
      <c r="J23" t="s">
        <v>199</v>
      </c>
      <c r="K23" t="s">
        <v>200</v>
      </c>
    </row>
    <row r="24" spans="1:11" x14ac:dyDescent="0.25">
      <c r="A24" t="s">
        <v>203</v>
      </c>
      <c r="E24" t="s">
        <v>203</v>
      </c>
      <c r="G24" t="s">
        <v>204</v>
      </c>
      <c r="I24" t="s">
        <v>205</v>
      </c>
      <c r="J24" t="s">
        <v>1655</v>
      </c>
      <c r="K24" t="s">
        <v>206</v>
      </c>
    </row>
    <row r="25" spans="1:11" x14ac:dyDescent="0.25">
      <c r="I25" t="s">
        <v>210</v>
      </c>
      <c r="J25" t="s">
        <v>202</v>
      </c>
      <c r="K25" t="s">
        <v>211</v>
      </c>
    </row>
    <row r="26" spans="1:11" x14ac:dyDescent="0.25">
      <c r="I26" t="s">
        <v>213</v>
      </c>
      <c r="J26" t="s">
        <v>202</v>
      </c>
      <c r="K26" t="s">
        <v>211</v>
      </c>
    </row>
    <row r="27" spans="1:11" x14ac:dyDescent="0.25">
      <c r="I27" t="s">
        <v>214</v>
      </c>
      <c r="J27" t="s">
        <v>202</v>
      </c>
      <c r="K27" t="s">
        <v>211</v>
      </c>
    </row>
    <row r="28" spans="1:11" x14ac:dyDescent="0.25">
      <c r="I28" t="s">
        <v>216</v>
      </c>
      <c r="J28" t="s">
        <v>202</v>
      </c>
      <c r="K28" t="s">
        <v>211</v>
      </c>
    </row>
    <row r="29" spans="1:11" x14ac:dyDescent="0.25">
      <c r="I29" t="s">
        <v>219</v>
      </c>
      <c r="J29" t="s">
        <v>1656</v>
      </c>
      <c r="K29" t="s">
        <v>209</v>
      </c>
    </row>
    <row r="30" spans="1:11" x14ac:dyDescent="0.25">
      <c r="I30" t="s">
        <v>222</v>
      </c>
      <c r="J30" t="s">
        <v>202</v>
      </c>
      <c r="K30" t="s">
        <v>211</v>
      </c>
    </row>
    <row r="31" spans="1:11" x14ac:dyDescent="0.25">
      <c r="I31" t="s">
        <v>226</v>
      </c>
      <c r="J31" t="s">
        <v>1656</v>
      </c>
      <c r="K31" t="s">
        <v>209</v>
      </c>
    </row>
  </sheetData>
  <pageMargins left="0.7" right="0.7" top="0.75" bottom="0.75" header="0.3" footer="0.3"/>
  <ignoredErrors>
    <ignoredError sqref="A7:K21 A38:H46 H1:K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selection sqref="A1:K25"/>
    </sheetView>
  </sheetViews>
  <sheetFormatPr defaultRowHeight="15.75" x14ac:dyDescent="0.25"/>
  <sheetData>
    <row r="1" spans="1:7" x14ac:dyDescent="0.25">
      <c r="A1" t="s">
        <v>182</v>
      </c>
      <c r="E1" t="s">
        <v>183</v>
      </c>
    </row>
    <row r="2" spans="1:7" x14ac:dyDescent="0.25">
      <c r="A2" t="s">
        <v>184</v>
      </c>
      <c r="B2" t="s">
        <v>185</v>
      </c>
      <c r="C2" t="s">
        <v>186</v>
      </c>
      <c r="E2" t="s">
        <v>184</v>
      </c>
      <c r="F2" t="s">
        <v>185</v>
      </c>
      <c r="G2" t="s">
        <v>186</v>
      </c>
    </row>
    <row r="3" spans="1:7" x14ac:dyDescent="0.25">
      <c r="A3" t="s">
        <v>187</v>
      </c>
      <c r="B3">
        <v>9</v>
      </c>
      <c r="C3">
        <v>1.1000000000000001</v>
      </c>
      <c r="E3" t="s">
        <v>188</v>
      </c>
      <c r="F3">
        <v>14</v>
      </c>
      <c r="G3">
        <v>2.1</v>
      </c>
    </row>
    <row r="4" spans="1:7" x14ac:dyDescent="0.25">
      <c r="A4" t="s">
        <v>189</v>
      </c>
      <c r="B4">
        <v>8</v>
      </c>
      <c r="C4">
        <v>9.1</v>
      </c>
      <c r="E4" t="s">
        <v>190</v>
      </c>
      <c r="F4">
        <v>2</v>
      </c>
      <c r="G4">
        <v>8.5</v>
      </c>
    </row>
    <row r="5" spans="1:7" x14ac:dyDescent="0.25">
      <c r="A5" t="s">
        <v>191</v>
      </c>
      <c r="B5">
        <v>1</v>
      </c>
      <c r="C5">
        <v>1</v>
      </c>
      <c r="E5" t="s">
        <v>192</v>
      </c>
      <c r="F5">
        <v>1</v>
      </c>
      <c r="G5">
        <v>4</v>
      </c>
    </row>
    <row r="6" spans="1:7" x14ac:dyDescent="0.25">
      <c r="A6" t="s">
        <v>193</v>
      </c>
      <c r="B6">
        <v>0</v>
      </c>
      <c r="C6">
        <v>0</v>
      </c>
      <c r="E6" t="s">
        <v>193</v>
      </c>
      <c r="F6">
        <v>0</v>
      </c>
      <c r="G6">
        <v>0</v>
      </c>
    </row>
    <row r="22" spans="1:11" x14ac:dyDescent="0.25">
      <c r="A22" t="s">
        <v>194</v>
      </c>
      <c r="E22" t="s">
        <v>195</v>
      </c>
      <c r="G22" t="s">
        <v>196</v>
      </c>
      <c r="I22" t="s">
        <v>1640</v>
      </c>
      <c r="K22" t="s">
        <v>196</v>
      </c>
    </row>
    <row r="23" spans="1:11" x14ac:dyDescent="0.25">
      <c r="A23" t="s">
        <v>198</v>
      </c>
      <c r="B23" t="s">
        <v>199</v>
      </c>
      <c r="E23" t="s">
        <v>198</v>
      </c>
      <c r="F23" t="s">
        <v>199</v>
      </c>
      <c r="G23" t="s">
        <v>200</v>
      </c>
      <c r="I23" t="s">
        <v>198</v>
      </c>
      <c r="J23" t="s">
        <v>199</v>
      </c>
      <c r="K23" t="s">
        <v>200</v>
      </c>
    </row>
    <row r="24" spans="1:11" x14ac:dyDescent="0.25">
      <c r="A24" t="s">
        <v>1612</v>
      </c>
      <c r="B24" t="s">
        <v>202</v>
      </c>
      <c r="E24" t="s">
        <v>1512</v>
      </c>
      <c r="F24" t="s">
        <v>1653</v>
      </c>
      <c r="G24" t="s">
        <v>1180</v>
      </c>
      <c r="I24" t="s">
        <v>1654</v>
      </c>
      <c r="K24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445"/>
  <sheetViews>
    <sheetView topLeftCell="AR316" workbookViewId="0">
      <selection sqref="A1:BP328"/>
    </sheetView>
  </sheetViews>
  <sheetFormatPr defaultRowHeight="15.75" x14ac:dyDescent="0.25"/>
  <sheetData>
    <row r="1" spans="1:68" x14ac:dyDescent="0.25">
      <c r="A1" t="s">
        <v>232</v>
      </c>
      <c r="B1" t="s">
        <v>232</v>
      </c>
      <c r="C1" t="s">
        <v>232</v>
      </c>
      <c r="D1" t="s">
        <v>232</v>
      </c>
      <c r="E1" t="s">
        <v>232</v>
      </c>
      <c r="F1" t="s">
        <v>232</v>
      </c>
      <c r="G1" t="s">
        <v>232</v>
      </c>
      <c r="H1" t="s">
        <v>232</v>
      </c>
      <c r="I1" t="s">
        <v>232</v>
      </c>
      <c r="J1" t="s">
        <v>232</v>
      </c>
      <c r="K1" t="s">
        <v>232</v>
      </c>
      <c r="L1" t="s">
        <v>232</v>
      </c>
      <c r="M1" t="s">
        <v>232</v>
      </c>
      <c r="O1" t="s">
        <v>232</v>
      </c>
      <c r="P1" t="s">
        <v>232</v>
      </c>
      <c r="Q1" t="s">
        <v>232</v>
      </c>
      <c r="R1" t="s">
        <v>232</v>
      </c>
      <c r="S1" t="s">
        <v>232</v>
      </c>
      <c r="T1" t="s">
        <v>232</v>
      </c>
      <c r="U1" t="s">
        <v>232</v>
      </c>
      <c r="V1" t="s">
        <v>232</v>
      </c>
      <c r="W1" t="s">
        <v>232</v>
      </c>
      <c r="X1" t="s">
        <v>232</v>
      </c>
      <c r="Y1" t="s">
        <v>232</v>
      </c>
      <c r="Z1" t="s">
        <v>232</v>
      </c>
      <c r="AA1" t="s">
        <v>232</v>
      </c>
      <c r="AB1" t="s">
        <v>232</v>
      </c>
      <c r="AC1" t="s">
        <v>232</v>
      </c>
      <c r="AD1" t="s">
        <v>233</v>
      </c>
      <c r="AE1" t="s">
        <v>233</v>
      </c>
      <c r="AF1" t="s">
        <v>233</v>
      </c>
      <c r="AG1" t="s">
        <v>233</v>
      </c>
      <c r="AH1" t="s">
        <v>233</v>
      </c>
      <c r="AI1" t="s">
        <v>233</v>
      </c>
      <c r="AJ1" t="s">
        <v>233</v>
      </c>
      <c r="AK1" t="s">
        <v>233</v>
      </c>
      <c r="AL1" t="s">
        <v>233</v>
      </c>
      <c r="AM1" t="s">
        <v>233</v>
      </c>
      <c r="AN1" t="s">
        <v>233</v>
      </c>
      <c r="AO1" t="s">
        <v>233</v>
      </c>
      <c r="AP1" t="s">
        <v>233</v>
      </c>
      <c r="AQ1" t="s">
        <v>233</v>
      </c>
      <c r="AR1" t="s">
        <v>234</v>
      </c>
      <c r="AS1" t="s">
        <v>234</v>
      </c>
      <c r="AT1" t="s">
        <v>232</v>
      </c>
      <c r="AU1" t="s">
        <v>232</v>
      </c>
      <c r="AV1" t="s">
        <v>232</v>
      </c>
      <c r="AW1" t="s">
        <v>232</v>
      </c>
      <c r="AX1" t="s">
        <v>233</v>
      </c>
      <c r="AY1" t="s">
        <v>233</v>
      </c>
      <c r="AZ1" t="s">
        <v>233</v>
      </c>
      <c r="BA1" t="s">
        <v>233</v>
      </c>
    </row>
    <row r="2" spans="1:68" x14ac:dyDescent="0.25">
      <c r="A2">
        <v>321</v>
      </c>
      <c r="B2">
        <v>324</v>
      </c>
      <c r="C2">
        <v>324</v>
      </c>
      <c r="D2">
        <v>4177505.1400000025</v>
      </c>
      <c r="E2">
        <v>5109575.4000000004</v>
      </c>
      <c r="F2">
        <v>324</v>
      </c>
      <c r="G2">
        <v>324</v>
      </c>
      <c r="H2">
        <v>324</v>
      </c>
      <c r="I2">
        <v>324</v>
      </c>
      <c r="J2">
        <v>324</v>
      </c>
      <c r="K2">
        <v>324</v>
      </c>
      <c r="L2">
        <v>299</v>
      </c>
      <c r="M2">
        <v>298</v>
      </c>
      <c r="O2">
        <v>299</v>
      </c>
      <c r="P2">
        <v>299</v>
      </c>
      <c r="Q2">
        <v>299</v>
      </c>
      <c r="R2">
        <v>298</v>
      </c>
      <c r="S2">
        <v>297</v>
      </c>
      <c r="T2">
        <v>322</v>
      </c>
      <c r="U2">
        <v>177503</v>
      </c>
      <c r="V2">
        <v>3895855.4</v>
      </c>
      <c r="W2">
        <v>113980</v>
      </c>
      <c r="X2">
        <v>854220</v>
      </c>
      <c r="Y2">
        <v>5041558.4000000004</v>
      </c>
      <c r="Z2">
        <v>236073</v>
      </c>
      <c r="AA2">
        <v>313</v>
      </c>
      <c r="AB2">
        <v>5277631.4000000004</v>
      </c>
      <c r="AC2">
        <v>3289682.859999998</v>
      </c>
      <c r="AD2">
        <v>798466.12</v>
      </c>
      <c r="AE2">
        <v>1123786.1200000001</v>
      </c>
      <c r="AF2">
        <v>37800</v>
      </c>
      <c r="AG2">
        <v>3000</v>
      </c>
      <c r="AH2">
        <v>233</v>
      </c>
      <c r="AI2">
        <v>233</v>
      </c>
      <c r="AJ2">
        <v>233</v>
      </c>
      <c r="AK2">
        <v>1930</v>
      </c>
      <c r="AL2">
        <v>2053294.4</v>
      </c>
      <c r="AM2">
        <v>1422927.5199999982</v>
      </c>
      <c r="AN2">
        <v>266045.23999999987</v>
      </c>
      <c r="AO2">
        <v>1688972.7599999986</v>
      </c>
      <c r="AP2">
        <v>453866.50000000006</v>
      </c>
      <c r="AQ2">
        <v>458068.7</v>
      </c>
      <c r="AR2">
        <v>1916244.0599999987</v>
      </c>
      <c r="AS2">
        <v>540628.5</v>
      </c>
      <c r="AT2">
        <v>175871.77419354839</v>
      </c>
      <c r="AU2">
        <v>297</v>
      </c>
      <c r="AV2">
        <v>295</v>
      </c>
      <c r="AW2">
        <v>320</v>
      </c>
      <c r="AX2">
        <v>0</v>
      </c>
      <c r="AY2">
        <v>0</v>
      </c>
      <c r="BA2">
        <v>0</v>
      </c>
      <c r="BH2">
        <v>3385456.3199999928</v>
      </c>
      <c r="BK2">
        <v>782067.07999999891</v>
      </c>
      <c r="BN2">
        <v>4167523.3999999985</v>
      </c>
      <c r="BO2">
        <v>1113251.9999999998</v>
      </c>
    </row>
    <row r="3" spans="1:68" x14ac:dyDescent="0.25">
      <c r="A3" t="s">
        <v>235</v>
      </c>
      <c r="B3" t="s">
        <v>236</v>
      </c>
      <c r="C3" t="s">
        <v>237</v>
      </c>
      <c r="D3" t="s">
        <v>238</v>
      </c>
      <c r="E3" t="s">
        <v>239</v>
      </c>
      <c r="F3" t="s">
        <v>240</v>
      </c>
      <c r="G3" t="s">
        <v>241</v>
      </c>
      <c r="H3" t="s">
        <v>242</v>
      </c>
      <c r="I3" t="s">
        <v>243</v>
      </c>
      <c r="J3" t="s">
        <v>244</v>
      </c>
      <c r="K3" t="s">
        <v>245</v>
      </c>
      <c r="L3" t="s">
        <v>246</v>
      </c>
      <c r="M3" t="s">
        <v>247</v>
      </c>
      <c r="N3" t="s">
        <v>248</v>
      </c>
      <c r="O3" t="s">
        <v>249</v>
      </c>
      <c r="P3" t="s">
        <v>250</v>
      </c>
      <c r="Q3" t="s">
        <v>251</v>
      </c>
      <c r="R3" t="s">
        <v>252</v>
      </c>
      <c r="S3" t="s">
        <v>253</v>
      </c>
      <c r="T3" t="s">
        <v>254</v>
      </c>
      <c r="U3" t="s">
        <v>255</v>
      </c>
      <c r="V3" t="s">
        <v>256</v>
      </c>
      <c r="W3" t="s">
        <v>257</v>
      </c>
      <c r="X3" t="s">
        <v>258</v>
      </c>
      <c r="Y3" t="s">
        <v>259</v>
      </c>
      <c r="Z3" t="s">
        <v>260</v>
      </c>
      <c r="AA3" t="s">
        <v>261</v>
      </c>
      <c r="AB3" t="s">
        <v>262</v>
      </c>
      <c r="AC3" t="s">
        <v>263</v>
      </c>
      <c r="AD3" t="s">
        <v>264</v>
      </c>
      <c r="AE3" t="s">
        <v>265</v>
      </c>
      <c r="AF3" t="s">
        <v>266</v>
      </c>
      <c r="AG3" t="s">
        <v>267</v>
      </c>
      <c r="AH3" t="s">
        <v>268</v>
      </c>
      <c r="AI3" t="s">
        <v>269</v>
      </c>
      <c r="AJ3" t="s">
        <v>270</v>
      </c>
      <c r="AK3" t="s">
        <v>271</v>
      </c>
      <c r="AL3" t="s">
        <v>272</v>
      </c>
      <c r="AM3" t="s">
        <v>273</v>
      </c>
      <c r="AN3" t="s">
        <v>274</v>
      </c>
      <c r="AO3" t="s">
        <v>275</v>
      </c>
      <c r="AP3" t="s">
        <v>276</v>
      </c>
      <c r="AQ3" t="s">
        <v>277</v>
      </c>
      <c r="AR3" t="s">
        <v>278</v>
      </c>
      <c r="AS3" t="s">
        <v>279</v>
      </c>
      <c r="AT3" t="s">
        <v>280</v>
      </c>
      <c r="AU3" t="s">
        <v>281</v>
      </c>
      <c r="AV3" t="s">
        <v>282</v>
      </c>
      <c r="AW3" t="s">
        <v>283</v>
      </c>
      <c r="AX3" t="s">
        <v>284</v>
      </c>
      <c r="AY3" t="s">
        <v>285</v>
      </c>
      <c r="AZ3" t="s">
        <v>286</v>
      </c>
      <c r="BA3" t="s">
        <v>287</v>
      </c>
      <c r="BB3" t="s">
        <v>288</v>
      </c>
      <c r="BC3" t="s">
        <v>289</v>
      </c>
      <c r="BD3" t="s">
        <v>290</v>
      </c>
      <c r="BE3" t="s">
        <v>291</v>
      </c>
      <c r="BF3" t="s">
        <v>292</v>
      </c>
      <c r="BG3" t="s">
        <v>293</v>
      </c>
      <c r="BH3" t="s">
        <v>294</v>
      </c>
      <c r="BI3" t="s">
        <v>295</v>
      </c>
      <c r="BJ3" t="s">
        <v>296</v>
      </c>
      <c r="BK3" t="s">
        <v>297</v>
      </c>
      <c r="BL3" t="s">
        <v>298</v>
      </c>
      <c r="BM3" t="s">
        <v>299</v>
      </c>
      <c r="BN3" t="s">
        <v>300</v>
      </c>
      <c r="BO3" t="s">
        <v>301</v>
      </c>
    </row>
    <row r="4" spans="1:68" x14ac:dyDescent="0.25">
      <c r="A4">
        <v>29753</v>
      </c>
      <c r="B4" t="s">
        <v>302</v>
      </c>
      <c r="C4" t="s">
        <v>303</v>
      </c>
      <c r="D4">
        <v>14999.6</v>
      </c>
      <c r="E4">
        <v>18293</v>
      </c>
      <c r="F4">
        <v>46023</v>
      </c>
      <c r="G4" t="s">
        <v>159</v>
      </c>
      <c r="H4" t="s">
        <v>304</v>
      </c>
      <c r="I4" t="s">
        <v>305</v>
      </c>
      <c r="J4" t="s">
        <v>306</v>
      </c>
      <c r="K4" t="s">
        <v>307</v>
      </c>
      <c r="L4">
        <v>46041</v>
      </c>
      <c r="M4">
        <v>46041</v>
      </c>
      <c r="N4">
        <v>46041</v>
      </c>
      <c r="O4" t="s">
        <v>308</v>
      </c>
      <c r="P4" t="s">
        <v>204</v>
      </c>
      <c r="Q4" t="s">
        <v>309</v>
      </c>
      <c r="R4" t="s">
        <v>310</v>
      </c>
      <c r="S4" t="s">
        <v>209</v>
      </c>
      <c r="T4" t="s">
        <v>311</v>
      </c>
      <c r="U4">
        <v>793</v>
      </c>
      <c r="V4">
        <v>10758</v>
      </c>
      <c r="W4">
        <v>2579</v>
      </c>
      <c r="X4">
        <v>4163</v>
      </c>
      <c r="Y4">
        <v>18293</v>
      </c>
      <c r="Z4">
        <v>0</v>
      </c>
      <c r="AA4" t="s">
        <v>204</v>
      </c>
      <c r="AB4">
        <v>18293</v>
      </c>
      <c r="AC4">
        <v>30477.600000000002</v>
      </c>
      <c r="AD4">
        <v>300</v>
      </c>
      <c r="AE4">
        <v>300</v>
      </c>
      <c r="AF4">
        <v>300</v>
      </c>
      <c r="AG4">
        <v>0</v>
      </c>
      <c r="AH4" t="s">
        <v>312</v>
      </c>
      <c r="AI4" t="s">
        <v>312</v>
      </c>
      <c r="AJ4" t="s">
        <v>312</v>
      </c>
      <c r="AK4">
        <v>0</v>
      </c>
      <c r="AL4">
        <v>18293</v>
      </c>
      <c r="AM4">
        <v>15065.599999999999</v>
      </c>
      <c r="AN4">
        <v>3227.3999999999996</v>
      </c>
      <c r="AO4">
        <v>18293</v>
      </c>
      <c r="AP4">
        <v>300</v>
      </c>
      <c r="AQ4">
        <v>300</v>
      </c>
      <c r="AR4">
        <v>18293</v>
      </c>
      <c r="AS4">
        <v>300</v>
      </c>
      <c r="AT4">
        <v>1352</v>
      </c>
      <c r="AU4">
        <v>46046</v>
      </c>
      <c r="AV4">
        <v>46050</v>
      </c>
      <c r="AW4" t="s">
        <v>204</v>
      </c>
      <c r="AX4">
        <v>0</v>
      </c>
      <c r="AY4">
        <v>0</v>
      </c>
      <c r="AZ4" t="s">
        <v>313</v>
      </c>
      <c r="BD4">
        <v>5</v>
      </c>
      <c r="BE4">
        <v>9</v>
      </c>
      <c r="BF4" t="s">
        <v>314</v>
      </c>
      <c r="BG4" t="s">
        <v>153</v>
      </c>
      <c r="BH4">
        <v>15065.599999999999</v>
      </c>
      <c r="BI4">
        <v>46055</v>
      </c>
      <c r="BJ4">
        <v>14</v>
      </c>
      <c r="BK4">
        <v>3227.3999999999996</v>
      </c>
      <c r="BL4">
        <v>46081</v>
      </c>
      <c r="BM4">
        <v>40</v>
      </c>
      <c r="BN4">
        <v>18293</v>
      </c>
      <c r="BO4">
        <v>0</v>
      </c>
      <c r="BP4" t="str">
        <f t="shared" ref="BP4:BP67" si="0">G4&amp;BG4</f>
        <v>HAEMBB</v>
      </c>
    </row>
    <row r="5" spans="1:68" x14ac:dyDescent="0.25">
      <c r="A5">
        <v>29754</v>
      </c>
      <c r="B5" t="s">
        <v>315</v>
      </c>
      <c r="C5" t="s">
        <v>316</v>
      </c>
      <c r="D5">
        <v>10631.2</v>
      </c>
      <c r="E5">
        <v>12966</v>
      </c>
      <c r="F5">
        <v>46023</v>
      </c>
      <c r="G5" t="s">
        <v>159</v>
      </c>
      <c r="H5" t="s">
        <v>304</v>
      </c>
      <c r="I5" t="s">
        <v>317</v>
      </c>
      <c r="J5" t="s">
        <v>306</v>
      </c>
      <c r="K5" t="s">
        <v>307</v>
      </c>
      <c r="L5">
        <v>46041</v>
      </c>
      <c r="M5">
        <v>46041</v>
      </c>
      <c r="N5">
        <v>46041</v>
      </c>
      <c r="O5" t="s">
        <v>318</v>
      </c>
      <c r="P5" t="s">
        <v>204</v>
      </c>
      <c r="Q5" t="s">
        <v>309</v>
      </c>
      <c r="R5" t="s">
        <v>310</v>
      </c>
      <c r="S5" t="s">
        <v>310</v>
      </c>
      <c r="T5" t="s">
        <v>311</v>
      </c>
      <c r="U5">
        <v>793</v>
      </c>
      <c r="V5">
        <v>8008</v>
      </c>
      <c r="W5">
        <v>2579</v>
      </c>
      <c r="X5">
        <v>1586</v>
      </c>
      <c r="Y5">
        <v>12966</v>
      </c>
      <c r="Z5">
        <v>4453</v>
      </c>
      <c r="AA5">
        <v>46076</v>
      </c>
      <c r="AB5">
        <v>17419</v>
      </c>
      <c r="AC5">
        <v>30477.600000000002</v>
      </c>
      <c r="AD5">
        <v>300</v>
      </c>
      <c r="AE5">
        <v>300</v>
      </c>
      <c r="AF5">
        <v>300</v>
      </c>
      <c r="AG5">
        <v>0</v>
      </c>
      <c r="AH5" t="s">
        <v>312</v>
      </c>
      <c r="AI5" t="s">
        <v>312</v>
      </c>
      <c r="AJ5" t="s">
        <v>312</v>
      </c>
      <c r="AK5">
        <v>0</v>
      </c>
      <c r="AL5">
        <v>20062</v>
      </c>
      <c r="AM5">
        <v>16496.399999999998</v>
      </c>
      <c r="AN5">
        <v>3036.5999999999995</v>
      </c>
      <c r="AO5">
        <v>19532.999999999996</v>
      </c>
      <c r="AP5">
        <v>300</v>
      </c>
      <c r="AQ5">
        <v>300</v>
      </c>
      <c r="AR5">
        <v>19533</v>
      </c>
      <c r="AS5">
        <v>300</v>
      </c>
      <c r="AT5">
        <v>1352</v>
      </c>
      <c r="AU5">
        <v>46044</v>
      </c>
      <c r="AV5">
        <v>46050</v>
      </c>
      <c r="AW5" t="s">
        <v>204</v>
      </c>
      <c r="AX5">
        <v>529</v>
      </c>
      <c r="AY5">
        <v>0</v>
      </c>
      <c r="AZ5" t="s">
        <v>313</v>
      </c>
      <c r="BD5">
        <v>3</v>
      </c>
      <c r="BE5">
        <v>9</v>
      </c>
      <c r="BF5" t="s">
        <v>314</v>
      </c>
      <c r="BG5" t="s">
        <v>153</v>
      </c>
      <c r="BH5">
        <v>16866.699999999997</v>
      </c>
      <c r="BI5">
        <v>46055</v>
      </c>
      <c r="BJ5">
        <v>14</v>
      </c>
      <c r="BK5">
        <v>3195.2999999999993</v>
      </c>
      <c r="BL5">
        <v>46081</v>
      </c>
      <c r="BM5">
        <v>40</v>
      </c>
      <c r="BN5">
        <v>20061.999999999996</v>
      </c>
      <c r="BO5">
        <v>0</v>
      </c>
      <c r="BP5" t="str">
        <f t="shared" si="0"/>
        <v>HAEMBB</v>
      </c>
    </row>
    <row r="6" spans="1:68" x14ac:dyDescent="0.25">
      <c r="A6">
        <v>29762</v>
      </c>
      <c r="B6" t="s">
        <v>319</v>
      </c>
      <c r="C6" t="s">
        <v>320</v>
      </c>
      <c r="D6">
        <v>11391.4</v>
      </c>
      <c r="E6">
        <v>13892</v>
      </c>
      <c r="F6">
        <v>46023</v>
      </c>
      <c r="G6" t="s">
        <v>159</v>
      </c>
      <c r="H6" t="s">
        <v>304</v>
      </c>
      <c r="I6" t="s">
        <v>321</v>
      </c>
      <c r="J6" t="s">
        <v>306</v>
      </c>
      <c r="K6" t="s">
        <v>307</v>
      </c>
      <c r="L6">
        <v>46039</v>
      </c>
      <c r="M6">
        <v>46039</v>
      </c>
      <c r="N6">
        <v>46039</v>
      </c>
      <c r="O6" t="s">
        <v>308</v>
      </c>
      <c r="P6" t="s">
        <v>204</v>
      </c>
      <c r="Q6" t="s">
        <v>309</v>
      </c>
      <c r="R6" t="s">
        <v>310</v>
      </c>
      <c r="S6" t="s">
        <v>209</v>
      </c>
      <c r="T6" t="s">
        <v>322</v>
      </c>
      <c r="U6">
        <v>793</v>
      </c>
      <c r="V6">
        <v>8934</v>
      </c>
      <c r="W6">
        <v>2579</v>
      </c>
      <c r="X6">
        <v>1586</v>
      </c>
      <c r="Y6">
        <v>13892</v>
      </c>
      <c r="Z6">
        <v>0</v>
      </c>
      <c r="AA6" t="s">
        <v>204</v>
      </c>
      <c r="AB6">
        <v>13892</v>
      </c>
      <c r="AC6">
        <v>30477.600000000002</v>
      </c>
      <c r="AD6">
        <v>300</v>
      </c>
      <c r="AE6">
        <v>300</v>
      </c>
      <c r="AF6">
        <v>300</v>
      </c>
      <c r="AG6">
        <v>0</v>
      </c>
      <c r="AH6" t="s">
        <v>312</v>
      </c>
      <c r="AI6" t="s">
        <v>312</v>
      </c>
      <c r="AJ6" t="s">
        <v>312</v>
      </c>
      <c r="AK6">
        <v>0</v>
      </c>
      <c r="AL6">
        <v>13892</v>
      </c>
      <c r="AM6">
        <v>11211.8</v>
      </c>
      <c r="AN6">
        <v>2680.2</v>
      </c>
      <c r="AO6">
        <v>13892</v>
      </c>
      <c r="AP6">
        <v>300</v>
      </c>
      <c r="AQ6">
        <v>300</v>
      </c>
      <c r="AR6">
        <v>13892</v>
      </c>
      <c r="AS6">
        <v>300</v>
      </c>
      <c r="AT6">
        <v>1352</v>
      </c>
      <c r="AU6">
        <v>46039</v>
      </c>
      <c r="AV6">
        <v>46043</v>
      </c>
      <c r="AW6" t="s">
        <v>204</v>
      </c>
      <c r="AX6">
        <v>0</v>
      </c>
      <c r="AY6">
        <v>0</v>
      </c>
      <c r="AZ6" t="s">
        <v>313</v>
      </c>
      <c r="BD6">
        <v>0</v>
      </c>
      <c r="BE6">
        <v>4</v>
      </c>
      <c r="BF6" t="s">
        <v>314</v>
      </c>
      <c r="BG6" t="s">
        <v>153</v>
      </c>
      <c r="BH6">
        <v>11211.8</v>
      </c>
      <c r="BI6">
        <v>46055</v>
      </c>
      <c r="BJ6">
        <v>16</v>
      </c>
      <c r="BK6">
        <v>2680.2</v>
      </c>
      <c r="BL6">
        <v>46081</v>
      </c>
      <c r="BM6">
        <v>42</v>
      </c>
      <c r="BN6">
        <v>13892</v>
      </c>
      <c r="BO6">
        <v>0</v>
      </c>
      <c r="BP6" t="str">
        <f t="shared" si="0"/>
        <v>HAEMBB</v>
      </c>
    </row>
    <row r="7" spans="1:68" x14ac:dyDescent="0.25">
      <c r="A7">
        <v>29763</v>
      </c>
      <c r="B7" t="s">
        <v>323</v>
      </c>
      <c r="C7" t="s">
        <v>324</v>
      </c>
      <c r="D7">
        <v>19812.400000000001</v>
      </c>
      <c r="E7">
        <v>24162</v>
      </c>
      <c r="F7">
        <v>46023</v>
      </c>
      <c r="G7" t="s">
        <v>159</v>
      </c>
      <c r="H7" t="s">
        <v>304</v>
      </c>
      <c r="I7" t="s">
        <v>325</v>
      </c>
      <c r="J7" t="s">
        <v>306</v>
      </c>
      <c r="K7" t="s">
        <v>307</v>
      </c>
      <c r="L7">
        <v>46038</v>
      </c>
      <c r="M7">
        <v>46038</v>
      </c>
      <c r="N7">
        <v>46038</v>
      </c>
      <c r="O7" t="s">
        <v>326</v>
      </c>
      <c r="P7" t="s">
        <v>327</v>
      </c>
      <c r="Q7" t="s">
        <v>328</v>
      </c>
      <c r="R7" t="s">
        <v>310</v>
      </c>
      <c r="S7" t="s">
        <v>209</v>
      </c>
      <c r="T7" t="s">
        <v>322</v>
      </c>
      <c r="U7">
        <v>793</v>
      </c>
      <c r="V7">
        <v>16627</v>
      </c>
      <c r="W7">
        <v>2579</v>
      </c>
      <c r="X7">
        <v>4163</v>
      </c>
      <c r="Y7">
        <v>24162</v>
      </c>
      <c r="Z7">
        <v>4453</v>
      </c>
      <c r="AA7">
        <v>46051</v>
      </c>
      <c r="AB7">
        <v>28615</v>
      </c>
      <c r="AC7">
        <v>30477.600000000002</v>
      </c>
      <c r="AD7">
        <v>11925</v>
      </c>
      <c r="AE7">
        <v>11625</v>
      </c>
      <c r="AF7">
        <v>300</v>
      </c>
      <c r="AG7">
        <v>0</v>
      </c>
      <c r="AH7" t="s">
        <v>312</v>
      </c>
      <c r="AI7" t="s">
        <v>312</v>
      </c>
      <c r="AJ7" t="s">
        <v>312</v>
      </c>
      <c r="AK7">
        <v>0</v>
      </c>
      <c r="AL7">
        <v>31258</v>
      </c>
      <c r="AM7">
        <v>25477</v>
      </c>
      <c r="AN7">
        <v>5781.0000000000009</v>
      </c>
      <c r="AO7">
        <v>31258</v>
      </c>
      <c r="AP7">
        <v>11985</v>
      </c>
      <c r="AQ7">
        <v>11865</v>
      </c>
      <c r="AR7">
        <v>31258.000000000004</v>
      </c>
      <c r="AS7">
        <v>11865</v>
      </c>
      <c r="AT7">
        <v>0</v>
      </c>
      <c r="AU7">
        <v>46039</v>
      </c>
      <c r="AV7">
        <v>46065</v>
      </c>
      <c r="AW7" t="s">
        <v>204</v>
      </c>
      <c r="AX7">
        <v>0</v>
      </c>
      <c r="AY7">
        <v>60</v>
      </c>
      <c r="AZ7" t="s">
        <v>313</v>
      </c>
      <c r="BD7">
        <v>1</v>
      </c>
      <c r="BE7">
        <v>27</v>
      </c>
      <c r="BF7" t="s">
        <v>314</v>
      </c>
      <c r="BG7" t="s">
        <v>153</v>
      </c>
      <c r="BH7">
        <v>25477</v>
      </c>
      <c r="BI7">
        <v>46055</v>
      </c>
      <c r="BJ7">
        <v>17</v>
      </c>
      <c r="BK7">
        <v>5781.0000000000009</v>
      </c>
      <c r="BL7">
        <v>46096</v>
      </c>
      <c r="BM7">
        <v>58</v>
      </c>
      <c r="BN7">
        <v>31258</v>
      </c>
      <c r="BO7">
        <v>0</v>
      </c>
      <c r="BP7" t="str">
        <f t="shared" si="0"/>
        <v>HAEMBB</v>
      </c>
    </row>
    <row r="8" spans="1:68" x14ac:dyDescent="0.25">
      <c r="A8">
        <v>29767</v>
      </c>
      <c r="B8" t="s">
        <v>329</v>
      </c>
      <c r="C8" t="s">
        <v>330</v>
      </c>
      <c r="D8">
        <v>20809.8</v>
      </c>
      <c r="E8">
        <v>25379</v>
      </c>
      <c r="F8">
        <v>46023</v>
      </c>
      <c r="G8" t="s">
        <v>159</v>
      </c>
      <c r="H8" t="s">
        <v>304</v>
      </c>
      <c r="I8" t="s">
        <v>331</v>
      </c>
      <c r="J8" t="s">
        <v>306</v>
      </c>
      <c r="K8" t="s">
        <v>307</v>
      </c>
      <c r="L8">
        <v>46041</v>
      </c>
      <c r="M8">
        <v>46041</v>
      </c>
      <c r="N8">
        <v>46041</v>
      </c>
      <c r="O8" t="s">
        <v>326</v>
      </c>
      <c r="P8" t="s">
        <v>327</v>
      </c>
      <c r="Q8" t="s">
        <v>328</v>
      </c>
      <c r="R8" t="s">
        <v>310</v>
      </c>
      <c r="S8" t="s">
        <v>209</v>
      </c>
      <c r="T8" t="s">
        <v>311</v>
      </c>
      <c r="U8">
        <v>793</v>
      </c>
      <c r="V8">
        <v>17844</v>
      </c>
      <c r="W8">
        <v>2579</v>
      </c>
      <c r="X8">
        <v>4163</v>
      </c>
      <c r="Y8">
        <v>25379</v>
      </c>
      <c r="Z8">
        <v>792</v>
      </c>
      <c r="AA8">
        <v>46051</v>
      </c>
      <c r="AB8">
        <v>26171</v>
      </c>
      <c r="AC8">
        <v>30477.600000000002</v>
      </c>
      <c r="AD8">
        <v>12235</v>
      </c>
      <c r="AE8">
        <v>11935</v>
      </c>
      <c r="AF8">
        <v>300</v>
      </c>
      <c r="AG8">
        <v>0</v>
      </c>
      <c r="AH8" t="s">
        <v>312</v>
      </c>
      <c r="AI8" t="s">
        <v>312</v>
      </c>
      <c r="AJ8" t="s">
        <v>312</v>
      </c>
      <c r="AK8">
        <v>0</v>
      </c>
      <c r="AL8">
        <v>26171</v>
      </c>
      <c r="AM8">
        <v>20580.199999999997</v>
      </c>
      <c r="AN8">
        <v>5590.7999999999993</v>
      </c>
      <c r="AO8">
        <v>26170.999999999996</v>
      </c>
      <c r="AP8">
        <v>12235</v>
      </c>
      <c r="AQ8">
        <v>12235</v>
      </c>
      <c r="AR8">
        <v>26171</v>
      </c>
      <c r="AS8">
        <v>12235</v>
      </c>
      <c r="AT8">
        <v>0</v>
      </c>
      <c r="AU8">
        <v>46042</v>
      </c>
      <c r="AV8">
        <v>46045</v>
      </c>
      <c r="AW8" t="s">
        <v>204</v>
      </c>
      <c r="AX8">
        <v>0</v>
      </c>
      <c r="AY8">
        <v>0</v>
      </c>
      <c r="AZ8" t="s">
        <v>313</v>
      </c>
      <c r="BD8">
        <v>1</v>
      </c>
      <c r="BE8">
        <v>4</v>
      </c>
      <c r="BF8" t="s">
        <v>314</v>
      </c>
      <c r="BG8" t="s">
        <v>153</v>
      </c>
      <c r="BH8">
        <v>20580.199999999997</v>
      </c>
      <c r="BI8">
        <v>46055</v>
      </c>
      <c r="BJ8">
        <v>14</v>
      </c>
      <c r="BK8">
        <v>5590.7999999999993</v>
      </c>
      <c r="BL8">
        <v>46081</v>
      </c>
      <c r="BM8">
        <v>40</v>
      </c>
      <c r="BN8">
        <v>26170.999999999996</v>
      </c>
      <c r="BO8">
        <v>0</v>
      </c>
      <c r="BP8" t="str">
        <f t="shared" si="0"/>
        <v>HAEMBB</v>
      </c>
    </row>
    <row r="9" spans="1:68" x14ac:dyDescent="0.25">
      <c r="A9">
        <v>29725</v>
      </c>
      <c r="B9" t="s">
        <v>332</v>
      </c>
      <c r="C9" t="s">
        <v>333</v>
      </c>
      <c r="D9">
        <v>47237.74</v>
      </c>
      <c r="E9">
        <v>57607</v>
      </c>
      <c r="F9">
        <v>46023</v>
      </c>
      <c r="G9" t="s">
        <v>159</v>
      </c>
      <c r="H9" t="s">
        <v>334</v>
      </c>
      <c r="I9" t="s">
        <v>335</v>
      </c>
      <c r="J9" t="s">
        <v>306</v>
      </c>
      <c r="K9" t="s">
        <v>307</v>
      </c>
      <c r="L9">
        <v>46043</v>
      </c>
      <c r="M9">
        <v>46045</v>
      </c>
      <c r="N9">
        <v>46045</v>
      </c>
      <c r="O9" t="s">
        <v>326</v>
      </c>
      <c r="P9" t="s">
        <v>327</v>
      </c>
      <c r="Q9" t="s">
        <v>328</v>
      </c>
      <c r="R9" t="s">
        <v>310</v>
      </c>
      <c r="S9" t="s">
        <v>209</v>
      </c>
      <c r="T9" t="s">
        <v>311</v>
      </c>
      <c r="U9">
        <v>793</v>
      </c>
      <c r="V9">
        <v>44914</v>
      </c>
      <c r="W9">
        <v>7737</v>
      </c>
      <c r="X9">
        <v>4163</v>
      </c>
      <c r="Y9">
        <v>57607</v>
      </c>
      <c r="Z9">
        <v>0</v>
      </c>
      <c r="AA9" t="s">
        <v>204</v>
      </c>
      <c r="AB9">
        <v>57607</v>
      </c>
      <c r="AC9">
        <v>35716.339999999997</v>
      </c>
      <c r="AD9">
        <v>22685</v>
      </c>
      <c r="AE9">
        <v>22385</v>
      </c>
      <c r="AF9">
        <v>300</v>
      </c>
      <c r="AG9">
        <v>0</v>
      </c>
      <c r="AH9" t="s">
        <v>312</v>
      </c>
      <c r="AI9" t="s">
        <v>312</v>
      </c>
      <c r="AJ9" t="s">
        <v>312</v>
      </c>
      <c r="AK9">
        <v>0</v>
      </c>
      <c r="AL9">
        <v>52955</v>
      </c>
      <c r="AM9">
        <v>40876.399999999994</v>
      </c>
      <c r="AN9">
        <v>12078.600000000002</v>
      </c>
      <c r="AO9">
        <v>52955</v>
      </c>
      <c r="AP9">
        <v>22685</v>
      </c>
      <c r="AQ9">
        <v>22685</v>
      </c>
      <c r="AR9">
        <v>52954.999999999985</v>
      </c>
      <c r="AS9">
        <v>22685</v>
      </c>
      <c r="AT9">
        <v>0</v>
      </c>
      <c r="AU9">
        <v>46063</v>
      </c>
      <c r="AV9">
        <v>46068</v>
      </c>
      <c r="AW9" t="s">
        <v>204</v>
      </c>
      <c r="AX9">
        <v>0</v>
      </c>
      <c r="AY9">
        <v>0</v>
      </c>
      <c r="AZ9" t="s">
        <v>313</v>
      </c>
      <c r="BD9">
        <v>18</v>
      </c>
      <c r="BE9">
        <v>23</v>
      </c>
      <c r="BF9" t="s">
        <v>314</v>
      </c>
      <c r="BG9" t="s">
        <v>153</v>
      </c>
      <c r="BH9">
        <v>40876.399999999994</v>
      </c>
      <c r="BI9">
        <v>46067</v>
      </c>
      <c r="BJ9">
        <v>22</v>
      </c>
      <c r="BK9">
        <v>12078.600000000002</v>
      </c>
      <c r="BL9">
        <v>46087</v>
      </c>
      <c r="BM9">
        <v>42</v>
      </c>
      <c r="BN9">
        <v>52955</v>
      </c>
      <c r="BO9">
        <v>4652</v>
      </c>
      <c r="BP9" t="str">
        <f t="shared" si="0"/>
        <v>HAEMBB</v>
      </c>
    </row>
    <row r="10" spans="1:68" x14ac:dyDescent="0.25">
      <c r="A10">
        <v>29757</v>
      </c>
      <c r="B10" t="s">
        <v>336</v>
      </c>
      <c r="C10" t="s">
        <v>337</v>
      </c>
      <c r="D10">
        <v>15368.6</v>
      </c>
      <c r="E10">
        <v>18743</v>
      </c>
      <c r="F10">
        <v>46023</v>
      </c>
      <c r="G10" t="s">
        <v>159</v>
      </c>
      <c r="H10" t="s">
        <v>304</v>
      </c>
      <c r="I10" t="s">
        <v>338</v>
      </c>
      <c r="J10" t="s">
        <v>306</v>
      </c>
      <c r="K10" t="s">
        <v>307</v>
      </c>
      <c r="L10">
        <v>46044</v>
      </c>
      <c r="M10">
        <v>46044</v>
      </c>
      <c r="N10">
        <v>46044</v>
      </c>
      <c r="O10" t="s">
        <v>326</v>
      </c>
      <c r="P10" t="s">
        <v>327</v>
      </c>
      <c r="Q10" t="s">
        <v>328</v>
      </c>
      <c r="R10" t="s">
        <v>310</v>
      </c>
      <c r="S10" t="s">
        <v>209</v>
      </c>
      <c r="T10" t="s">
        <v>311</v>
      </c>
      <c r="U10">
        <v>793</v>
      </c>
      <c r="V10">
        <v>11208</v>
      </c>
      <c r="W10">
        <v>2579</v>
      </c>
      <c r="X10">
        <v>4163</v>
      </c>
      <c r="Y10">
        <v>18743</v>
      </c>
      <c r="Z10">
        <v>0</v>
      </c>
      <c r="AA10" t="s">
        <v>204</v>
      </c>
      <c r="AB10">
        <v>18743</v>
      </c>
      <c r="AC10">
        <v>11620.66</v>
      </c>
      <c r="AD10">
        <v>8040</v>
      </c>
      <c r="AE10">
        <v>7740</v>
      </c>
      <c r="AF10">
        <v>300</v>
      </c>
      <c r="AG10">
        <v>0</v>
      </c>
      <c r="AH10" t="s">
        <v>312</v>
      </c>
      <c r="AI10" t="s">
        <v>312</v>
      </c>
      <c r="AJ10" t="s">
        <v>312</v>
      </c>
      <c r="AK10">
        <v>0</v>
      </c>
      <c r="AL10">
        <v>18743</v>
      </c>
      <c r="AM10">
        <v>15380.599999999999</v>
      </c>
      <c r="AN10">
        <v>3362.3999999999996</v>
      </c>
      <c r="AO10">
        <v>18743</v>
      </c>
      <c r="AP10">
        <v>8040</v>
      </c>
      <c r="AQ10">
        <v>8040</v>
      </c>
      <c r="AR10">
        <v>18743.000000000004</v>
      </c>
      <c r="AS10">
        <v>8040</v>
      </c>
      <c r="AT10">
        <v>0</v>
      </c>
      <c r="AU10">
        <v>46044</v>
      </c>
      <c r="AV10">
        <v>46048</v>
      </c>
      <c r="AW10" t="s">
        <v>204</v>
      </c>
      <c r="AX10">
        <v>0</v>
      </c>
      <c r="AY10">
        <v>0</v>
      </c>
      <c r="AZ10" t="s">
        <v>313</v>
      </c>
      <c r="BD10">
        <v>0</v>
      </c>
      <c r="BE10">
        <v>4</v>
      </c>
      <c r="BF10" t="s">
        <v>314</v>
      </c>
      <c r="BG10" t="s">
        <v>153</v>
      </c>
      <c r="BH10">
        <v>15380.599999999999</v>
      </c>
      <c r="BI10">
        <v>46055</v>
      </c>
      <c r="BJ10">
        <v>11</v>
      </c>
      <c r="BK10">
        <v>3362.3999999999996</v>
      </c>
      <c r="BL10">
        <v>46081</v>
      </c>
      <c r="BM10">
        <v>37</v>
      </c>
      <c r="BN10">
        <v>18743</v>
      </c>
      <c r="BO10">
        <v>0</v>
      </c>
      <c r="BP10" t="str">
        <f t="shared" si="0"/>
        <v>HAEMBB</v>
      </c>
    </row>
    <row r="11" spans="1:68" x14ac:dyDescent="0.25">
      <c r="A11">
        <v>29758</v>
      </c>
      <c r="B11" t="s">
        <v>339</v>
      </c>
      <c r="C11" t="s">
        <v>340</v>
      </c>
      <c r="D11">
        <v>22933.8</v>
      </c>
      <c r="E11">
        <v>27969</v>
      </c>
      <c r="F11">
        <v>46023</v>
      </c>
      <c r="G11" t="s">
        <v>159</v>
      </c>
      <c r="H11" t="s">
        <v>304</v>
      </c>
      <c r="I11" t="s">
        <v>341</v>
      </c>
      <c r="J11" t="s">
        <v>306</v>
      </c>
      <c r="K11" t="s">
        <v>307</v>
      </c>
      <c r="L11">
        <v>46047</v>
      </c>
      <c r="M11">
        <v>46048</v>
      </c>
      <c r="N11">
        <v>46048</v>
      </c>
      <c r="O11" t="s">
        <v>326</v>
      </c>
      <c r="P11" t="s">
        <v>327</v>
      </c>
      <c r="Q11" t="s">
        <v>328</v>
      </c>
      <c r="R11" t="s">
        <v>310</v>
      </c>
      <c r="S11" t="s">
        <v>209</v>
      </c>
      <c r="T11" t="s">
        <v>342</v>
      </c>
      <c r="U11">
        <v>793</v>
      </c>
      <c r="V11">
        <v>20434</v>
      </c>
      <c r="W11">
        <v>2579</v>
      </c>
      <c r="X11">
        <v>4163</v>
      </c>
      <c r="Y11">
        <v>27969</v>
      </c>
      <c r="Z11">
        <v>4453</v>
      </c>
      <c r="AA11">
        <v>46076</v>
      </c>
      <c r="AB11">
        <v>32422</v>
      </c>
      <c r="AC11">
        <v>17340.78</v>
      </c>
      <c r="AD11">
        <v>13255</v>
      </c>
      <c r="AE11">
        <v>12955</v>
      </c>
      <c r="AF11">
        <v>300</v>
      </c>
      <c r="AG11">
        <v>0</v>
      </c>
      <c r="AH11" t="s">
        <v>312</v>
      </c>
      <c r="AI11" t="s">
        <v>312</v>
      </c>
      <c r="AJ11" t="s">
        <v>312</v>
      </c>
      <c r="AK11">
        <v>0</v>
      </c>
      <c r="AL11">
        <v>32422</v>
      </c>
      <c r="AM11">
        <v>26291.8</v>
      </c>
      <c r="AN11">
        <v>6130.2000000000007</v>
      </c>
      <c r="AO11">
        <v>32422</v>
      </c>
      <c r="AP11">
        <v>13255</v>
      </c>
      <c r="AQ11">
        <v>13255</v>
      </c>
      <c r="AR11">
        <v>32421.999999999996</v>
      </c>
      <c r="AS11">
        <v>13255</v>
      </c>
      <c r="AT11">
        <v>0</v>
      </c>
      <c r="AU11">
        <v>46051</v>
      </c>
      <c r="AV11">
        <v>46057</v>
      </c>
      <c r="AW11" t="s">
        <v>204</v>
      </c>
      <c r="AX11">
        <v>0</v>
      </c>
      <c r="AY11">
        <v>0</v>
      </c>
      <c r="AZ11" t="s">
        <v>313</v>
      </c>
      <c r="BD11">
        <v>3</v>
      </c>
      <c r="BE11">
        <v>9</v>
      </c>
      <c r="BF11" t="s">
        <v>314</v>
      </c>
      <c r="BG11" t="s">
        <v>153</v>
      </c>
      <c r="BH11">
        <v>26291.8</v>
      </c>
      <c r="BI11">
        <v>46061</v>
      </c>
      <c r="BJ11">
        <v>13</v>
      </c>
      <c r="BK11">
        <v>6130.2000000000007</v>
      </c>
      <c r="BL11">
        <v>46081</v>
      </c>
      <c r="BM11">
        <v>33</v>
      </c>
      <c r="BN11">
        <v>32422</v>
      </c>
      <c r="BO11">
        <v>0</v>
      </c>
      <c r="BP11" t="str">
        <f t="shared" si="0"/>
        <v>HAEMBB</v>
      </c>
    </row>
    <row r="12" spans="1:68" x14ac:dyDescent="0.25">
      <c r="A12">
        <v>29759</v>
      </c>
      <c r="B12" t="s">
        <v>343</v>
      </c>
      <c r="C12" t="s">
        <v>344</v>
      </c>
      <c r="D12">
        <v>12961.6</v>
      </c>
      <c r="E12">
        <v>15808</v>
      </c>
      <c r="F12">
        <v>46023</v>
      </c>
      <c r="G12" t="s">
        <v>159</v>
      </c>
      <c r="H12" t="s">
        <v>304</v>
      </c>
      <c r="I12" t="s">
        <v>345</v>
      </c>
      <c r="J12" t="s">
        <v>306</v>
      </c>
      <c r="K12" t="s">
        <v>307</v>
      </c>
      <c r="L12">
        <v>46048</v>
      </c>
      <c r="M12">
        <v>46048</v>
      </c>
      <c r="N12">
        <v>46048</v>
      </c>
      <c r="O12" t="s">
        <v>308</v>
      </c>
      <c r="P12" t="s">
        <v>204</v>
      </c>
      <c r="Q12" t="s">
        <v>309</v>
      </c>
      <c r="R12" t="s">
        <v>310</v>
      </c>
      <c r="S12" t="s">
        <v>209</v>
      </c>
      <c r="T12" t="s">
        <v>342</v>
      </c>
      <c r="U12">
        <v>793</v>
      </c>
      <c r="V12">
        <v>8273</v>
      </c>
      <c r="W12">
        <v>2579</v>
      </c>
      <c r="X12">
        <v>4163</v>
      </c>
      <c r="Y12">
        <v>15808</v>
      </c>
      <c r="Z12">
        <v>0</v>
      </c>
      <c r="AA12" t="s">
        <v>204</v>
      </c>
      <c r="AB12">
        <v>15808</v>
      </c>
      <c r="AC12">
        <v>9800.9599999999991</v>
      </c>
      <c r="AD12">
        <v>300</v>
      </c>
      <c r="AE12">
        <v>300</v>
      </c>
      <c r="AF12">
        <v>300</v>
      </c>
      <c r="AG12">
        <v>0</v>
      </c>
      <c r="AH12" t="s">
        <v>312</v>
      </c>
      <c r="AI12" t="s">
        <v>312</v>
      </c>
      <c r="AJ12" t="s">
        <v>312</v>
      </c>
      <c r="AK12">
        <v>0</v>
      </c>
      <c r="AL12">
        <v>15808</v>
      </c>
      <c r="AM12">
        <v>13326.099999999999</v>
      </c>
      <c r="AN12">
        <v>2481.8999999999996</v>
      </c>
      <c r="AO12">
        <v>15807.999999999998</v>
      </c>
      <c r="AP12">
        <v>300</v>
      </c>
      <c r="AQ12">
        <v>300</v>
      </c>
      <c r="AR12">
        <v>15808</v>
      </c>
      <c r="AS12">
        <v>300</v>
      </c>
      <c r="AT12">
        <v>1352</v>
      </c>
      <c r="AU12">
        <v>46057</v>
      </c>
      <c r="AV12">
        <v>46060</v>
      </c>
      <c r="AW12" t="s">
        <v>204</v>
      </c>
      <c r="AX12">
        <v>0</v>
      </c>
      <c r="AY12">
        <v>0</v>
      </c>
      <c r="AZ12" t="s">
        <v>313</v>
      </c>
      <c r="BD12">
        <v>9</v>
      </c>
      <c r="BE12">
        <v>12</v>
      </c>
      <c r="BF12" t="s">
        <v>314</v>
      </c>
      <c r="BG12" t="s">
        <v>153</v>
      </c>
      <c r="BH12">
        <v>13326.099999999999</v>
      </c>
      <c r="BI12">
        <v>46067</v>
      </c>
      <c r="BJ12">
        <v>19</v>
      </c>
      <c r="BK12">
        <v>2481.8999999999996</v>
      </c>
      <c r="BL12">
        <v>46081</v>
      </c>
      <c r="BM12">
        <v>33</v>
      </c>
      <c r="BN12">
        <v>15807.999999999998</v>
      </c>
      <c r="BO12">
        <v>0</v>
      </c>
      <c r="BP12" t="str">
        <f t="shared" si="0"/>
        <v>HAEMBB</v>
      </c>
    </row>
    <row r="13" spans="1:68" x14ac:dyDescent="0.25">
      <c r="A13">
        <v>29760</v>
      </c>
      <c r="B13" t="s">
        <v>346</v>
      </c>
      <c r="C13" t="s">
        <v>347</v>
      </c>
      <c r="D13">
        <v>15802.2</v>
      </c>
      <c r="E13">
        <v>19271</v>
      </c>
      <c r="F13">
        <v>46023</v>
      </c>
      <c r="G13" t="s">
        <v>159</v>
      </c>
      <c r="H13" t="s">
        <v>304</v>
      </c>
      <c r="I13" t="s">
        <v>348</v>
      </c>
      <c r="J13" t="s">
        <v>306</v>
      </c>
      <c r="K13" t="s">
        <v>307</v>
      </c>
      <c r="L13">
        <v>46046</v>
      </c>
      <c r="M13">
        <v>46046</v>
      </c>
      <c r="N13">
        <v>46046</v>
      </c>
      <c r="O13" t="s">
        <v>318</v>
      </c>
      <c r="P13" t="s">
        <v>204</v>
      </c>
      <c r="Q13" t="s">
        <v>309</v>
      </c>
      <c r="R13" t="s">
        <v>310</v>
      </c>
      <c r="S13" t="s">
        <v>209</v>
      </c>
      <c r="T13" t="s">
        <v>311</v>
      </c>
      <c r="U13">
        <v>793</v>
      </c>
      <c r="V13">
        <v>11736</v>
      </c>
      <c r="W13">
        <v>2579</v>
      </c>
      <c r="X13">
        <v>4163</v>
      </c>
      <c r="Y13">
        <v>19271</v>
      </c>
      <c r="Z13">
        <v>4453</v>
      </c>
      <c r="AA13">
        <v>46076</v>
      </c>
      <c r="AB13">
        <v>23724</v>
      </c>
      <c r="AC13">
        <v>11948.02</v>
      </c>
      <c r="AD13">
        <v>300</v>
      </c>
      <c r="AE13">
        <v>300</v>
      </c>
      <c r="AF13">
        <v>300</v>
      </c>
      <c r="AG13">
        <v>0</v>
      </c>
      <c r="AH13" t="s">
        <v>312</v>
      </c>
      <c r="AI13" t="s">
        <v>312</v>
      </c>
      <c r="AJ13" t="s">
        <v>312</v>
      </c>
      <c r="AK13">
        <v>0</v>
      </c>
      <c r="AL13">
        <v>23724</v>
      </c>
      <c r="AM13">
        <v>20203.2</v>
      </c>
      <c r="AN13">
        <v>3520.7999999999997</v>
      </c>
      <c r="AO13">
        <v>23724</v>
      </c>
      <c r="AP13">
        <v>300</v>
      </c>
      <c r="AQ13">
        <v>300</v>
      </c>
      <c r="AR13">
        <v>23724.000000000004</v>
      </c>
      <c r="AS13">
        <v>300</v>
      </c>
      <c r="AT13">
        <v>1352</v>
      </c>
      <c r="AU13">
        <v>46056</v>
      </c>
      <c r="AV13">
        <v>46063</v>
      </c>
      <c r="AW13" t="s">
        <v>204</v>
      </c>
      <c r="AX13">
        <v>0</v>
      </c>
      <c r="AY13">
        <v>0</v>
      </c>
      <c r="AZ13" t="s">
        <v>313</v>
      </c>
      <c r="BD13">
        <v>10</v>
      </c>
      <c r="BE13">
        <v>17</v>
      </c>
      <c r="BF13" t="s">
        <v>314</v>
      </c>
      <c r="BG13" t="s">
        <v>153</v>
      </c>
      <c r="BH13">
        <v>20203.2</v>
      </c>
      <c r="BI13">
        <v>46067</v>
      </c>
      <c r="BJ13">
        <v>21</v>
      </c>
      <c r="BK13">
        <v>3520.7999999999997</v>
      </c>
      <c r="BL13">
        <v>46096</v>
      </c>
      <c r="BM13">
        <v>50</v>
      </c>
      <c r="BN13">
        <v>23724</v>
      </c>
      <c r="BO13">
        <v>0</v>
      </c>
      <c r="BP13" t="str">
        <f t="shared" si="0"/>
        <v>HAEMBB</v>
      </c>
    </row>
    <row r="14" spans="1:68" x14ac:dyDescent="0.25">
      <c r="A14">
        <v>29761</v>
      </c>
      <c r="B14" t="s">
        <v>349</v>
      </c>
      <c r="C14" t="s">
        <v>350</v>
      </c>
      <c r="D14">
        <v>20810.8</v>
      </c>
      <c r="E14">
        <v>25379</v>
      </c>
      <c r="F14">
        <v>46023</v>
      </c>
      <c r="G14" t="s">
        <v>159</v>
      </c>
      <c r="H14" t="s">
        <v>304</v>
      </c>
      <c r="I14" t="s">
        <v>351</v>
      </c>
      <c r="J14" t="s">
        <v>306</v>
      </c>
      <c r="K14" t="s">
        <v>307</v>
      </c>
      <c r="L14">
        <v>46046</v>
      </c>
      <c r="M14">
        <v>46046</v>
      </c>
      <c r="N14">
        <v>46046</v>
      </c>
      <c r="O14" t="s">
        <v>326</v>
      </c>
      <c r="P14" t="s">
        <v>327</v>
      </c>
      <c r="Q14" t="s">
        <v>328</v>
      </c>
      <c r="R14" t="s">
        <v>310</v>
      </c>
      <c r="S14" t="s">
        <v>209</v>
      </c>
      <c r="T14" t="s">
        <v>311</v>
      </c>
      <c r="U14">
        <v>793</v>
      </c>
      <c r="V14">
        <v>17844</v>
      </c>
      <c r="W14">
        <v>2579</v>
      </c>
      <c r="X14">
        <v>4163</v>
      </c>
      <c r="Y14">
        <v>25379</v>
      </c>
      <c r="Z14">
        <v>0</v>
      </c>
      <c r="AA14" t="s">
        <v>204</v>
      </c>
      <c r="AB14">
        <v>25379</v>
      </c>
      <c r="AC14">
        <v>15734.98</v>
      </c>
      <c r="AD14">
        <v>11975</v>
      </c>
      <c r="AE14">
        <v>11675</v>
      </c>
      <c r="AF14">
        <v>300</v>
      </c>
      <c r="AG14">
        <v>0</v>
      </c>
      <c r="AH14" t="s">
        <v>312</v>
      </c>
      <c r="AI14" t="s">
        <v>312</v>
      </c>
      <c r="AJ14" t="s">
        <v>312</v>
      </c>
      <c r="AK14">
        <v>0</v>
      </c>
      <c r="AL14">
        <v>25379</v>
      </c>
      <c r="AM14">
        <v>20025.799999999996</v>
      </c>
      <c r="AN14">
        <v>5353.1999999999989</v>
      </c>
      <c r="AO14">
        <v>25378.999999999993</v>
      </c>
      <c r="AP14">
        <v>11975</v>
      </c>
      <c r="AQ14">
        <v>11975</v>
      </c>
      <c r="AR14">
        <v>25379.000000000004</v>
      </c>
      <c r="AS14">
        <v>11975</v>
      </c>
      <c r="AT14">
        <v>0</v>
      </c>
      <c r="AU14">
        <v>46047</v>
      </c>
      <c r="AV14">
        <v>46048</v>
      </c>
      <c r="AW14" t="s">
        <v>204</v>
      </c>
      <c r="AX14">
        <v>0</v>
      </c>
      <c r="AY14">
        <v>0</v>
      </c>
      <c r="AZ14" t="s">
        <v>313</v>
      </c>
      <c r="BD14">
        <v>1</v>
      </c>
      <c r="BE14">
        <v>2</v>
      </c>
      <c r="BF14" t="s">
        <v>314</v>
      </c>
      <c r="BG14" t="s">
        <v>153</v>
      </c>
      <c r="BH14">
        <v>20025.799999999996</v>
      </c>
      <c r="BI14">
        <v>46055</v>
      </c>
      <c r="BJ14">
        <v>9</v>
      </c>
      <c r="BK14">
        <v>5353.1999999999989</v>
      </c>
      <c r="BL14">
        <v>46081</v>
      </c>
      <c r="BM14">
        <v>35</v>
      </c>
      <c r="BN14">
        <v>25378.999999999993</v>
      </c>
      <c r="BO14">
        <v>0</v>
      </c>
      <c r="BP14" t="str">
        <f t="shared" si="0"/>
        <v>HAEMBB</v>
      </c>
    </row>
    <row r="15" spans="1:68" x14ac:dyDescent="0.25">
      <c r="A15">
        <v>29764</v>
      </c>
      <c r="B15" t="s">
        <v>352</v>
      </c>
      <c r="C15" t="s">
        <v>353</v>
      </c>
      <c r="D15">
        <v>23694.2</v>
      </c>
      <c r="E15">
        <v>28896</v>
      </c>
      <c r="F15">
        <v>46023</v>
      </c>
      <c r="G15" t="s">
        <v>159</v>
      </c>
      <c r="H15" t="s">
        <v>304</v>
      </c>
      <c r="I15" t="s">
        <v>354</v>
      </c>
      <c r="J15" t="s">
        <v>306</v>
      </c>
      <c r="K15" t="s">
        <v>307</v>
      </c>
      <c r="L15">
        <v>46044</v>
      </c>
      <c r="M15">
        <v>46044</v>
      </c>
      <c r="N15">
        <v>46044</v>
      </c>
      <c r="O15" t="s">
        <v>308</v>
      </c>
      <c r="P15" t="s">
        <v>204</v>
      </c>
      <c r="Q15" t="s">
        <v>309</v>
      </c>
      <c r="R15" t="s">
        <v>310</v>
      </c>
      <c r="S15" t="s">
        <v>209</v>
      </c>
      <c r="T15" t="s">
        <v>311</v>
      </c>
      <c r="U15">
        <v>793</v>
      </c>
      <c r="V15">
        <v>21361</v>
      </c>
      <c r="W15">
        <v>2579</v>
      </c>
      <c r="X15">
        <v>4163</v>
      </c>
      <c r="Y15">
        <v>28896</v>
      </c>
      <c r="Z15">
        <v>0</v>
      </c>
      <c r="AA15" t="s">
        <v>204</v>
      </c>
      <c r="AB15">
        <v>28896</v>
      </c>
      <c r="AC15">
        <v>17915.52</v>
      </c>
      <c r="AD15">
        <v>300</v>
      </c>
      <c r="AE15">
        <v>300</v>
      </c>
      <c r="AF15">
        <v>300</v>
      </c>
      <c r="AG15">
        <v>0</v>
      </c>
      <c r="AH15" t="s">
        <v>312</v>
      </c>
      <c r="AI15" t="s">
        <v>312</v>
      </c>
      <c r="AJ15" t="s">
        <v>312</v>
      </c>
      <c r="AK15">
        <v>0</v>
      </c>
      <c r="AL15">
        <v>28896</v>
      </c>
      <c r="AM15">
        <v>22487.699999999997</v>
      </c>
      <c r="AN15">
        <v>6408.2999999999993</v>
      </c>
      <c r="AO15">
        <v>28895.999999999996</v>
      </c>
      <c r="AP15">
        <v>300</v>
      </c>
      <c r="AQ15">
        <v>300</v>
      </c>
      <c r="AR15">
        <v>28896</v>
      </c>
      <c r="AS15">
        <v>300</v>
      </c>
      <c r="AT15">
        <v>1352</v>
      </c>
      <c r="AU15">
        <v>46044</v>
      </c>
      <c r="AV15">
        <v>46046</v>
      </c>
      <c r="AW15" t="s">
        <v>204</v>
      </c>
      <c r="AX15">
        <v>0</v>
      </c>
      <c r="AY15">
        <v>0</v>
      </c>
      <c r="AZ15" t="s">
        <v>313</v>
      </c>
      <c r="BD15">
        <v>0</v>
      </c>
      <c r="BE15">
        <v>2</v>
      </c>
      <c r="BF15" t="s">
        <v>314</v>
      </c>
      <c r="BG15" t="s">
        <v>153</v>
      </c>
      <c r="BH15">
        <v>22487.699999999997</v>
      </c>
      <c r="BI15">
        <v>46055</v>
      </c>
      <c r="BJ15">
        <v>11</v>
      </c>
      <c r="BK15">
        <v>6408.2999999999993</v>
      </c>
      <c r="BL15">
        <v>46081</v>
      </c>
      <c r="BM15">
        <v>37</v>
      </c>
      <c r="BN15">
        <v>28895.999999999996</v>
      </c>
      <c r="BO15">
        <v>0</v>
      </c>
      <c r="BP15" t="str">
        <f t="shared" si="0"/>
        <v>HAEMBB</v>
      </c>
    </row>
    <row r="16" spans="1:68" x14ac:dyDescent="0.25">
      <c r="A16">
        <v>29766</v>
      </c>
      <c r="B16" t="s">
        <v>355</v>
      </c>
      <c r="C16" t="s">
        <v>356</v>
      </c>
      <c r="D16">
        <v>11607.2</v>
      </c>
      <c r="E16">
        <v>14156</v>
      </c>
      <c r="F16">
        <v>46023</v>
      </c>
      <c r="G16" t="s">
        <v>159</v>
      </c>
      <c r="H16" t="s">
        <v>304</v>
      </c>
      <c r="I16" t="s">
        <v>357</v>
      </c>
      <c r="J16" t="s">
        <v>306</v>
      </c>
      <c r="K16" t="s">
        <v>307</v>
      </c>
      <c r="L16">
        <v>46044</v>
      </c>
      <c r="M16">
        <v>46044</v>
      </c>
      <c r="N16">
        <v>46044</v>
      </c>
      <c r="O16" t="s">
        <v>318</v>
      </c>
      <c r="P16" t="s">
        <v>204</v>
      </c>
      <c r="Q16" t="s">
        <v>309</v>
      </c>
      <c r="R16" t="s">
        <v>310</v>
      </c>
      <c r="S16" t="s">
        <v>209</v>
      </c>
      <c r="T16" t="s">
        <v>311</v>
      </c>
      <c r="U16">
        <v>793</v>
      </c>
      <c r="V16">
        <v>9198</v>
      </c>
      <c r="W16">
        <v>2579</v>
      </c>
      <c r="X16">
        <v>1586</v>
      </c>
      <c r="Y16">
        <v>14156</v>
      </c>
      <c r="Z16">
        <v>8906</v>
      </c>
      <c r="AA16">
        <v>46076</v>
      </c>
      <c r="AB16">
        <v>23062</v>
      </c>
      <c r="AC16">
        <v>8776.7199999999993</v>
      </c>
      <c r="AD16">
        <v>300</v>
      </c>
      <c r="AE16">
        <v>300</v>
      </c>
      <c r="AF16">
        <v>300</v>
      </c>
      <c r="AG16">
        <v>0</v>
      </c>
      <c r="AH16" t="s">
        <v>312</v>
      </c>
      <c r="AI16" t="s">
        <v>312</v>
      </c>
      <c r="AJ16" t="s">
        <v>312</v>
      </c>
      <c r="AK16">
        <v>0</v>
      </c>
      <c r="AL16">
        <v>23062</v>
      </c>
      <c r="AM16">
        <v>20302.599999999999</v>
      </c>
      <c r="AN16">
        <v>2759.3999999999996</v>
      </c>
      <c r="AO16">
        <v>23062</v>
      </c>
      <c r="AP16">
        <v>360</v>
      </c>
      <c r="AQ16">
        <v>240</v>
      </c>
      <c r="AR16">
        <v>23062</v>
      </c>
      <c r="AS16">
        <v>240</v>
      </c>
      <c r="AT16">
        <v>1352</v>
      </c>
      <c r="AU16">
        <v>46044</v>
      </c>
      <c r="AV16">
        <v>46045</v>
      </c>
      <c r="AW16" t="s">
        <v>204</v>
      </c>
      <c r="AX16">
        <v>0</v>
      </c>
      <c r="AY16">
        <v>60</v>
      </c>
      <c r="AZ16" t="s">
        <v>313</v>
      </c>
      <c r="BD16">
        <v>0</v>
      </c>
      <c r="BE16">
        <v>1</v>
      </c>
      <c r="BF16" t="s">
        <v>314</v>
      </c>
      <c r="BG16" t="s">
        <v>153</v>
      </c>
      <c r="BH16">
        <v>20302.599999999999</v>
      </c>
      <c r="BI16">
        <v>46055</v>
      </c>
      <c r="BJ16">
        <v>11</v>
      </c>
      <c r="BK16">
        <v>2759.3999999999996</v>
      </c>
      <c r="BL16">
        <v>46081</v>
      </c>
      <c r="BM16">
        <v>37</v>
      </c>
      <c r="BN16">
        <v>23062</v>
      </c>
      <c r="BO16">
        <v>0</v>
      </c>
      <c r="BP16" t="str">
        <f t="shared" si="0"/>
        <v>HAEMBB</v>
      </c>
    </row>
    <row r="17" spans="1:68" x14ac:dyDescent="0.25">
      <c r="A17">
        <v>29755</v>
      </c>
      <c r="B17" t="s">
        <v>358</v>
      </c>
      <c r="C17" t="s">
        <v>359</v>
      </c>
      <c r="D17">
        <v>20744.8</v>
      </c>
      <c r="E17">
        <v>25299</v>
      </c>
      <c r="F17">
        <v>46023</v>
      </c>
      <c r="G17" t="s">
        <v>159</v>
      </c>
      <c r="H17" t="s">
        <v>304</v>
      </c>
      <c r="I17" t="s">
        <v>360</v>
      </c>
      <c r="J17" t="s">
        <v>306</v>
      </c>
      <c r="K17" t="s">
        <v>307</v>
      </c>
      <c r="L17">
        <v>46053</v>
      </c>
      <c r="M17">
        <v>46053</v>
      </c>
      <c r="N17">
        <v>46053</v>
      </c>
      <c r="O17" t="s">
        <v>308</v>
      </c>
      <c r="P17" t="s">
        <v>204</v>
      </c>
      <c r="Q17" t="s">
        <v>309</v>
      </c>
      <c r="R17" t="s">
        <v>310</v>
      </c>
      <c r="S17" t="s">
        <v>209</v>
      </c>
      <c r="T17" t="s">
        <v>342</v>
      </c>
      <c r="U17">
        <v>793</v>
      </c>
      <c r="V17">
        <v>17764</v>
      </c>
      <c r="W17">
        <v>2579</v>
      </c>
      <c r="X17">
        <v>4163</v>
      </c>
      <c r="Y17">
        <v>25299</v>
      </c>
      <c r="Z17">
        <v>4453</v>
      </c>
      <c r="AA17">
        <v>46076</v>
      </c>
      <c r="AB17">
        <v>29752</v>
      </c>
      <c r="AC17">
        <v>15685.38</v>
      </c>
      <c r="AD17">
        <v>300</v>
      </c>
      <c r="AE17">
        <v>300</v>
      </c>
      <c r="AF17">
        <v>300</v>
      </c>
      <c r="AG17">
        <v>0</v>
      </c>
      <c r="AH17" t="s">
        <v>312</v>
      </c>
      <c r="AI17" t="s">
        <v>312</v>
      </c>
      <c r="AJ17" t="s">
        <v>312</v>
      </c>
      <c r="AK17">
        <v>0</v>
      </c>
      <c r="AL17">
        <v>29752</v>
      </c>
      <c r="AM17">
        <v>24422.799999999996</v>
      </c>
      <c r="AN17">
        <v>5329.2</v>
      </c>
      <c r="AO17">
        <v>29751.999999999996</v>
      </c>
      <c r="AP17">
        <v>300</v>
      </c>
      <c r="AQ17">
        <v>300</v>
      </c>
      <c r="AR17">
        <v>29752.000000000007</v>
      </c>
      <c r="AS17">
        <v>300</v>
      </c>
      <c r="AT17">
        <v>1352</v>
      </c>
      <c r="AU17">
        <v>46063</v>
      </c>
      <c r="AV17">
        <v>46072</v>
      </c>
      <c r="AW17" t="s">
        <v>204</v>
      </c>
      <c r="AX17">
        <v>0</v>
      </c>
      <c r="AY17">
        <v>0</v>
      </c>
      <c r="AZ17" t="s">
        <v>313</v>
      </c>
      <c r="BD17">
        <v>10</v>
      </c>
      <c r="BE17">
        <v>19</v>
      </c>
      <c r="BF17" t="s">
        <v>314</v>
      </c>
      <c r="BG17" t="s">
        <v>153</v>
      </c>
      <c r="BH17">
        <v>24422.799999999996</v>
      </c>
      <c r="BI17">
        <v>46081</v>
      </c>
      <c r="BJ17">
        <v>28</v>
      </c>
      <c r="BK17">
        <v>5329.2</v>
      </c>
      <c r="BL17">
        <v>46096</v>
      </c>
      <c r="BM17">
        <v>43</v>
      </c>
      <c r="BN17">
        <v>29751.999999999996</v>
      </c>
      <c r="BO17">
        <v>0</v>
      </c>
      <c r="BP17" t="str">
        <f t="shared" si="0"/>
        <v>HAEMBB</v>
      </c>
    </row>
    <row r="18" spans="1:68" x14ac:dyDescent="0.25">
      <c r="A18">
        <v>29765</v>
      </c>
      <c r="B18" t="s">
        <v>361</v>
      </c>
      <c r="C18" t="s">
        <v>362</v>
      </c>
      <c r="D18">
        <v>19184.2</v>
      </c>
      <c r="E18">
        <v>23396</v>
      </c>
      <c r="F18">
        <v>46023</v>
      </c>
      <c r="G18" t="s">
        <v>159</v>
      </c>
      <c r="H18" t="s">
        <v>304</v>
      </c>
      <c r="I18" t="s">
        <v>363</v>
      </c>
      <c r="J18" t="s">
        <v>306</v>
      </c>
      <c r="K18" t="s">
        <v>307</v>
      </c>
      <c r="L18">
        <v>46055</v>
      </c>
      <c r="M18">
        <v>46055</v>
      </c>
      <c r="N18">
        <v>46055</v>
      </c>
      <c r="O18" t="s">
        <v>326</v>
      </c>
      <c r="P18" t="s">
        <v>327</v>
      </c>
      <c r="Q18" t="s">
        <v>328</v>
      </c>
      <c r="R18" t="s">
        <v>310</v>
      </c>
      <c r="S18" t="s">
        <v>209</v>
      </c>
      <c r="T18" t="s">
        <v>364</v>
      </c>
      <c r="U18">
        <v>793</v>
      </c>
      <c r="V18">
        <v>15861</v>
      </c>
      <c r="W18">
        <v>2579</v>
      </c>
      <c r="X18">
        <v>4163</v>
      </c>
      <c r="Y18">
        <v>23396</v>
      </c>
      <c r="Z18">
        <v>0</v>
      </c>
      <c r="AA18" t="s">
        <v>204</v>
      </c>
      <c r="AB18">
        <v>23396</v>
      </c>
      <c r="AC18">
        <v>14505.52</v>
      </c>
      <c r="AD18">
        <v>11555</v>
      </c>
      <c r="AE18">
        <v>11255</v>
      </c>
      <c r="AF18">
        <v>300</v>
      </c>
      <c r="AG18">
        <v>0</v>
      </c>
      <c r="AH18" t="s">
        <v>312</v>
      </c>
      <c r="AI18" t="s">
        <v>312</v>
      </c>
      <c r="AJ18" t="s">
        <v>312</v>
      </c>
      <c r="AK18">
        <v>0</v>
      </c>
      <c r="AL18">
        <v>23396</v>
      </c>
      <c r="AM18">
        <v>18637.699999999997</v>
      </c>
      <c r="AN18">
        <v>4758.2999999999993</v>
      </c>
      <c r="AO18">
        <v>23395.999999999996</v>
      </c>
      <c r="AP18">
        <v>11615</v>
      </c>
      <c r="AQ18">
        <v>11495</v>
      </c>
      <c r="AR18">
        <v>23395.999999999996</v>
      </c>
      <c r="AS18">
        <v>11495</v>
      </c>
      <c r="AT18">
        <v>0</v>
      </c>
      <c r="AU18">
        <v>46057</v>
      </c>
      <c r="AV18">
        <v>46065</v>
      </c>
      <c r="AW18" t="s">
        <v>204</v>
      </c>
      <c r="AX18">
        <v>0</v>
      </c>
      <c r="AY18">
        <v>60</v>
      </c>
      <c r="AZ18" t="s">
        <v>313</v>
      </c>
      <c r="BD18">
        <v>2</v>
      </c>
      <c r="BE18">
        <v>10</v>
      </c>
      <c r="BF18" t="s">
        <v>314</v>
      </c>
      <c r="BG18" t="s">
        <v>153</v>
      </c>
      <c r="BH18">
        <v>18637.699999999997</v>
      </c>
      <c r="BI18">
        <v>46067</v>
      </c>
      <c r="BJ18">
        <v>12</v>
      </c>
      <c r="BK18">
        <v>4758.2999999999993</v>
      </c>
      <c r="BL18">
        <v>46096</v>
      </c>
      <c r="BM18">
        <v>41</v>
      </c>
      <c r="BN18">
        <v>23395.999999999996</v>
      </c>
      <c r="BO18">
        <v>0</v>
      </c>
      <c r="BP18" t="str">
        <f t="shared" si="0"/>
        <v>HAEMBB</v>
      </c>
    </row>
    <row r="19" spans="1:68" x14ac:dyDescent="0.25">
      <c r="A19" t="s">
        <v>365</v>
      </c>
      <c r="B19" t="s">
        <v>366</v>
      </c>
      <c r="C19" t="s">
        <v>367</v>
      </c>
      <c r="D19">
        <v>22252.34</v>
      </c>
      <c r="E19">
        <v>27137</v>
      </c>
      <c r="F19">
        <v>46023</v>
      </c>
      <c r="G19" t="s">
        <v>159</v>
      </c>
      <c r="H19" t="s">
        <v>368</v>
      </c>
      <c r="I19" t="s">
        <v>369</v>
      </c>
      <c r="J19" t="s">
        <v>306</v>
      </c>
      <c r="K19" t="s">
        <v>307</v>
      </c>
      <c r="L19">
        <v>46049</v>
      </c>
      <c r="M19">
        <v>46053</v>
      </c>
      <c r="N19">
        <v>46053</v>
      </c>
      <c r="O19" t="s">
        <v>318</v>
      </c>
      <c r="P19" t="s">
        <v>204</v>
      </c>
      <c r="Q19" t="s">
        <v>309</v>
      </c>
      <c r="R19" t="s">
        <v>310</v>
      </c>
      <c r="S19" t="s">
        <v>209</v>
      </c>
      <c r="T19" t="s">
        <v>342</v>
      </c>
      <c r="U19">
        <v>793</v>
      </c>
      <c r="V19">
        <v>22179</v>
      </c>
      <c r="W19">
        <v>2579</v>
      </c>
      <c r="X19">
        <v>1586</v>
      </c>
      <c r="Y19">
        <v>27137</v>
      </c>
      <c r="Z19">
        <v>5024</v>
      </c>
      <c r="AA19">
        <v>46076</v>
      </c>
      <c r="AB19">
        <v>32161</v>
      </c>
      <c r="AC19">
        <v>16824.939999999999</v>
      </c>
      <c r="AD19">
        <v>300</v>
      </c>
      <c r="AE19">
        <v>0</v>
      </c>
      <c r="AF19">
        <v>300</v>
      </c>
      <c r="AG19">
        <v>0</v>
      </c>
      <c r="AH19" t="s">
        <v>312</v>
      </c>
      <c r="AI19" t="s">
        <v>312</v>
      </c>
      <c r="AJ19" t="s">
        <v>312</v>
      </c>
      <c r="AK19">
        <v>0</v>
      </c>
      <c r="AL19">
        <v>32161</v>
      </c>
      <c r="AM19">
        <v>6622.6</v>
      </c>
      <c r="AN19">
        <v>713.4</v>
      </c>
      <c r="AO19">
        <v>7336</v>
      </c>
      <c r="AP19">
        <v>300</v>
      </c>
      <c r="AQ19">
        <v>300</v>
      </c>
      <c r="AR19">
        <v>7336</v>
      </c>
      <c r="AS19">
        <v>300</v>
      </c>
      <c r="AT19">
        <v>6760</v>
      </c>
      <c r="AU19">
        <v>46059</v>
      </c>
      <c r="AV19">
        <v>46063</v>
      </c>
      <c r="AW19" t="s">
        <v>204</v>
      </c>
      <c r="AX19">
        <v>24825</v>
      </c>
      <c r="AY19">
        <v>0</v>
      </c>
      <c r="AZ19" t="s">
        <v>313</v>
      </c>
      <c r="BD19">
        <v>6</v>
      </c>
      <c r="BE19">
        <v>10</v>
      </c>
      <c r="BF19" t="s">
        <v>314</v>
      </c>
      <c r="BG19" t="s">
        <v>153</v>
      </c>
      <c r="BH19">
        <v>10139.400000000001</v>
      </c>
      <c r="BI19">
        <v>46067</v>
      </c>
      <c r="BJ19">
        <v>14</v>
      </c>
      <c r="BK19">
        <v>2220.6</v>
      </c>
      <c r="BL19">
        <v>46087</v>
      </c>
      <c r="BM19">
        <v>34</v>
      </c>
      <c r="BN19">
        <v>12360.000000000002</v>
      </c>
      <c r="BO19">
        <v>0</v>
      </c>
      <c r="BP19" t="str">
        <f t="shared" si="0"/>
        <v>HAEMBB</v>
      </c>
    </row>
    <row r="20" spans="1:68" x14ac:dyDescent="0.25">
      <c r="A20" t="s">
        <v>370</v>
      </c>
      <c r="B20" t="s">
        <v>371</v>
      </c>
      <c r="C20" t="s">
        <v>372</v>
      </c>
      <c r="D20">
        <v>1687.29</v>
      </c>
      <c r="E20">
        <v>2081</v>
      </c>
      <c r="F20">
        <v>46054</v>
      </c>
      <c r="G20" t="s">
        <v>152</v>
      </c>
      <c r="H20" t="s">
        <v>373</v>
      </c>
      <c r="I20" t="s">
        <v>374</v>
      </c>
      <c r="J20" t="s">
        <v>306</v>
      </c>
      <c r="K20" t="s">
        <v>307</v>
      </c>
      <c r="L20">
        <v>46051</v>
      </c>
      <c r="M20">
        <v>46051</v>
      </c>
      <c r="N20">
        <v>46051</v>
      </c>
      <c r="O20" t="s">
        <v>375</v>
      </c>
      <c r="P20" t="s">
        <v>376</v>
      </c>
      <c r="Q20" t="s">
        <v>328</v>
      </c>
      <c r="R20" t="s">
        <v>310</v>
      </c>
      <c r="S20" t="s">
        <v>377</v>
      </c>
      <c r="T20" t="s">
        <v>342</v>
      </c>
      <c r="U20">
        <v>0</v>
      </c>
      <c r="V20">
        <v>1970</v>
      </c>
      <c r="W20">
        <v>0</v>
      </c>
      <c r="X20">
        <v>111</v>
      </c>
      <c r="Y20">
        <v>2081</v>
      </c>
      <c r="Z20">
        <v>0</v>
      </c>
      <c r="AA20" t="s">
        <v>204</v>
      </c>
      <c r="AB20">
        <v>2081</v>
      </c>
      <c r="AC20">
        <v>1500</v>
      </c>
      <c r="AD20">
        <v>1230</v>
      </c>
      <c r="AE20">
        <v>1230</v>
      </c>
      <c r="AF20">
        <v>0</v>
      </c>
      <c r="AG20">
        <v>0</v>
      </c>
      <c r="AH20" t="s">
        <v>312</v>
      </c>
      <c r="AI20" t="s">
        <v>312</v>
      </c>
      <c r="AJ20" t="s">
        <v>312</v>
      </c>
      <c r="AK20">
        <v>0</v>
      </c>
      <c r="AL20">
        <v>2081</v>
      </c>
      <c r="AM20">
        <v>1687</v>
      </c>
      <c r="AN20">
        <v>0</v>
      </c>
      <c r="AO20">
        <v>1687</v>
      </c>
      <c r="AP20">
        <v>1230</v>
      </c>
      <c r="AQ20">
        <v>1230</v>
      </c>
      <c r="AR20">
        <v>1687</v>
      </c>
      <c r="AS20">
        <v>1230</v>
      </c>
      <c r="AT20">
        <v>0</v>
      </c>
      <c r="AU20">
        <v>46051</v>
      </c>
      <c r="AV20">
        <v>46065</v>
      </c>
      <c r="AW20" t="s">
        <v>204</v>
      </c>
      <c r="AX20">
        <v>394</v>
      </c>
      <c r="AY20">
        <v>0</v>
      </c>
      <c r="AZ20" t="s">
        <v>313</v>
      </c>
      <c r="BD20">
        <v>0</v>
      </c>
      <c r="BE20">
        <v>14</v>
      </c>
      <c r="BF20" t="s">
        <v>314</v>
      </c>
      <c r="BG20" t="s">
        <v>155</v>
      </c>
      <c r="BH20">
        <v>1687</v>
      </c>
      <c r="BI20">
        <v>46073</v>
      </c>
      <c r="BJ20">
        <v>22</v>
      </c>
      <c r="BK20">
        <v>394</v>
      </c>
      <c r="BL20">
        <v>46230</v>
      </c>
      <c r="BM20">
        <v>179</v>
      </c>
      <c r="BN20">
        <v>2081</v>
      </c>
      <c r="BO20">
        <v>0</v>
      </c>
      <c r="BP20" t="str">
        <f t="shared" si="0"/>
        <v>TMEIPRAN</v>
      </c>
    </row>
    <row r="21" spans="1:68" x14ac:dyDescent="0.25">
      <c r="A21" t="s">
        <v>378</v>
      </c>
      <c r="B21" t="s">
        <v>379</v>
      </c>
      <c r="C21" t="s">
        <v>380</v>
      </c>
      <c r="D21">
        <v>1687.29</v>
      </c>
      <c r="E21">
        <v>2081</v>
      </c>
      <c r="F21">
        <v>46054</v>
      </c>
      <c r="G21" t="s">
        <v>152</v>
      </c>
      <c r="H21" t="s">
        <v>373</v>
      </c>
      <c r="I21" t="s">
        <v>381</v>
      </c>
      <c r="J21" t="s">
        <v>306</v>
      </c>
      <c r="K21" t="s">
        <v>307</v>
      </c>
      <c r="L21">
        <v>46051</v>
      </c>
      <c r="M21">
        <v>46051</v>
      </c>
      <c r="N21">
        <v>46051</v>
      </c>
      <c r="O21" t="s">
        <v>375</v>
      </c>
      <c r="P21" t="s">
        <v>376</v>
      </c>
      <c r="Q21" t="s">
        <v>328</v>
      </c>
      <c r="R21" t="s">
        <v>310</v>
      </c>
      <c r="S21" t="s">
        <v>377</v>
      </c>
      <c r="T21" t="s">
        <v>342</v>
      </c>
      <c r="U21">
        <v>0</v>
      </c>
      <c r="V21">
        <v>1970</v>
      </c>
      <c r="W21">
        <v>0</v>
      </c>
      <c r="X21">
        <v>111</v>
      </c>
      <c r="Y21">
        <v>2081</v>
      </c>
      <c r="Z21">
        <v>0</v>
      </c>
      <c r="AA21" t="s">
        <v>204</v>
      </c>
      <c r="AB21">
        <v>2081</v>
      </c>
      <c r="AC21">
        <v>1500</v>
      </c>
      <c r="AD21">
        <v>1230</v>
      </c>
      <c r="AE21">
        <v>1230</v>
      </c>
      <c r="AF21">
        <v>0</v>
      </c>
      <c r="AG21">
        <v>0</v>
      </c>
      <c r="AH21" t="s">
        <v>312</v>
      </c>
      <c r="AI21" t="s">
        <v>312</v>
      </c>
      <c r="AJ21" t="s">
        <v>312</v>
      </c>
      <c r="AK21">
        <v>0</v>
      </c>
      <c r="AL21">
        <v>2081</v>
      </c>
      <c r="AM21">
        <v>1687</v>
      </c>
      <c r="AN21">
        <v>0</v>
      </c>
      <c r="AO21">
        <v>1687</v>
      </c>
      <c r="AP21">
        <v>1230</v>
      </c>
      <c r="AQ21">
        <v>1230</v>
      </c>
      <c r="AR21">
        <v>1687</v>
      </c>
      <c r="AS21">
        <v>1230</v>
      </c>
      <c r="AT21">
        <v>0</v>
      </c>
      <c r="AU21">
        <v>46051</v>
      </c>
      <c r="AV21">
        <v>46073</v>
      </c>
      <c r="AW21" t="s">
        <v>204</v>
      </c>
      <c r="AX21">
        <v>394</v>
      </c>
      <c r="AY21">
        <v>0</v>
      </c>
      <c r="AZ21" t="s">
        <v>313</v>
      </c>
      <c r="BD21">
        <v>0</v>
      </c>
      <c r="BE21">
        <v>22</v>
      </c>
      <c r="BF21" t="s">
        <v>314</v>
      </c>
      <c r="BG21" t="s">
        <v>155</v>
      </c>
      <c r="BH21">
        <v>1687</v>
      </c>
      <c r="BI21">
        <v>46073</v>
      </c>
      <c r="BJ21">
        <v>22</v>
      </c>
      <c r="BK21">
        <v>394</v>
      </c>
      <c r="BL21">
        <v>46230</v>
      </c>
      <c r="BM21">
        <v>179</v>
      </c>
      <c r="BN21">
        <v>2081</v>
      </c>
      <c r="BO21">
        <v>0</v>
      </c>
      <c r="BP21" t="str">
        <f t="shared" si="0"/>
        <v>TMEIPRAN</v>
      </c>
    </row>
    <row r="22" spans="1:68" x14ac:dyDescent="0.25">
      <c r="A22" t="s">
        <v>382</v>
      </c>
      <c r="B22" t="s">
        <v>383</v>
      </c>
      <c r="C22" t="s">
        <v>384</v>
      </c>
      <c r="D22">
        <v>1687.29</v>
      </c>
      <c r="E22">
        <v>2081</v>
      </c>
      <c r="F22">
        <v>46054</v>
      </c>
      <c r="G22" t="s">
        <v>152</v>
      </c>
      <c r="H22" t="s">
        <v>373</v>
      </c>
      <c r="I22" t="s">
        <v>385</v>
      </c>
      <c r="J22" t="s">
        <v>306</v>
      </c>
      <c r="K22" t="s">
        <v>307</v>
      </c>
      <c r="L22">
        <v>46051</v>
      </c>
      <c r="M22">
        <v>46051</v>
      </c>
      <c r="N22">
        <v>46051</v>
      </c>
      <c r="O22" t="s">
        <v>375</v>
      </c>
      <c r="P22" t="s">
        <v>376</v>
      </c>
      <c r="Q22" t="s">
        <v>328</v>
      </c>
      <c r="R22" t="s">
        <v>310</v>
      </c>
      <c r="S22" t="s">
        <v>377</v>
      </c>
      <c r="T22" t="s">
        <v>342</v>
      </c>
      <c r="U22">
        <v>0</v>
      </c>
      <c r="V22">
        <v>1970</v>
      </c>
      <c r="W22">
        <v>0</v>
      </c>
      <c r="X22">
        <v>111</v>
      </c>
      <c r="Y22">
        <v>2081</v>
      </c>
      <c r="Z22">
        <v>0</v>
      </c>
      <c r="AA22" t="s">
        <v>204</v>
      </c>
      <c r="AB22">
        <v>2081</v>
      </c>
      <c r="AC22">
        <v>1500</v>
      </c>
      <c r="AD22">
        <v>1230</v>
      </c>
      <c r="AE22">
        <v>1230</v>
      </c>
      <c r="AF22">
        <v>0</v>
      </c>
      <c r="AG22">
        <v>0</v>
      </c>
      <c r="AH22" t="s">
        <v>312</v>
      </c>
      <c r="AI22" t="s">
        <v>312</v>
      </c>
      <c r="AJ22" t="s">
        <v>312</v>
      </c>
      <c r="AK22">
        <v>0</v>
      </c>
      <c r="AL22">
        <v>2081</v>
      </c>
      <c r="AM22">
        <v>1687</v>
      </c>
      <c r="AN22">
        <v>0</v>
      </c>
      <c r="AO22">
        <v>1687</v>
      </c>
      <c r="AP22">
        <v>1230</v>
      </c>
      <c r="AQ22">
        <v>1230</v>
      </c>
      <c r="AR22">
        <v>1687</v>
      </c>
      <c r="AS22">
        <v>1230</v>
      </c>
      <c r="AT22">
        <v>0</v>
      </c>
      <c r="AU22">
        <v>46071</v>
      </c>
      <c r="AV22">
        <v>46073</v>
      </c>
      <c r="AW22" t="s">
        <v>204</v>
      </c>
      <c r="AX22">
        <v>394</v>
      </c>
      <c r="AY22">
        <v>0</v>
      </c>
      <c r="AZ22" t="s">
        <v>313</v>
      </c>
      <c r="BD22">
        <v>20</v>
      </c>
      <c r="BE22">
        <v>22</v>
      </c>
      <c r="BF22" t="s">
        <v>314</v>
      </c>
      <c r="BG22" t="s">
        <v>155</v>
      </c>
      <c r="BH22">
        <v>1687</v>
      </c>
      <c r="BI22">
        <v>46081</v>
      </c>
      <c r="BJ22">
        <v>30</v>
      </c>
      <c r="BK22">
        <v>394</v>
      </c>
      <c r="BL22">
        <v>46230</v>
      </c>
      <c r="BM22">
        <v>179</v>
      </c>
      <c r="BN22">
        <v>2081</v>
      </c>
      <c r="BO22">
        <v>0</v>
      </c>
      <c r="BP22" t="str">
        <f t="shared" si="0"/>
        <v>TMEIPRAN</v>
      </c>
    </row>
    <row r="23" spans="1:68" x14ac:dyDescent="0.25">
      <c r="A23" t="s">
        <v>386</v>
      </c>
      <c r="B23" t="s">
        <v>387</v>
      </c>
      <c r="C23" t="s">
        <v>388</v>
      </c>
      <c r="D23">
        <v>1687.29</v>
      </c>
      <c r="E23">
        <v>2081</v>
      </c>
      <c r="F23">
        <v>46054</v>
      </c>
      <c r="G23" t="s">
        <v>152</v>
      </c>
      <c r="H23" t="s">
        <v>373</v>
      </c>
      <c r="I23" t="s">
        <v>389</v>
      </c>
      <c r="J23" t="s">
        <v>306</v>
      </c>
      <c r="K23" t="s">
        <v>307</v>
      </c>
      <c r="L23">
        <v>46052</v>
      </c>
      <c r="M23">
        <v>46052</v>
      </c>
      <c r="N23">
        <v>46052</v>
      </c>
      <c r="O23" t="s">
        <v>375</v>
      </c>
      <c r="P23" t="s">
        <v>376</v>
      </c>
      <c r="Q23" t="s">
        <v>328</v>
      </c>
      <c r="R23" t="s">
        <v>310</v>
      </c>
      <c r="S23" t="s">
        <v>377</v>
      </c>
      <c r="T23" t="s">
        <v>342</v>
      </c>
      <c r="U23">
        <v>0</v>
      </c>
      <c r="V23">
        <v>1970</v>
      </c>
      <c r="W23">
        <v>0</v>
      </c>
      <c r="X23">
        <v>111</v>
      </c>
      <c r="Y23">
        <v>2081</v>
      </c>
      <c r="Z23">
        <v>0</v>
      </c>
      <c r="AA23" t="s">
        <v>204</v>
      </c>
      <c r="AB23">
        <v>2081</v>
      </c>
      <c r="AC23">
        <v>1500</v>
      </c>
      <c r="AD23">
        <v>1230</v>
      </c>
      <c r="AE23">
        <v>1230</v>
      </c>
      <c r="AF23">
        <v>0</v>
      </c>
      <c r="AG23">
        <v>0</v>
      </c>
      <c r="AH23" t="s">
        <v>312</v>
      </c>
      <c r="AI23" t="s">
        <v>312</v>
      </c>
      <c r="AJ23" t="s">
        <v>312</v>
      </c>
      <c r="AK23">
        <v>0</v>
      </c>
      <c r="AL23">
        <v>2081</v>
      </c>
      <c r="AM23">
        <v>1687</v>
      </c>
      <c r="AN23">
        <v>0</v>
      </c>
      <c r="AO23">
        <v>1687</v>
      </c>
      <c r="AP23">
        <v>1230</v>
      </c>
      <c r="AQ23">
        <v>1230</v>
      </c>
      <c r="AR23">
        <v>1687</v>
      </c>
      <c r="AS23">
        <v>1230</v>
      </c>
      <c r="AT23">
        <v>0</v>
      </c>
      <c r="AU23">
        <v>46052</v>
      </c>
      <c r="AV23">
        <v>46065</v>
      </c>
      <c r="AW23" t="s">
        <v>204</v>
      </c>
      <c r="AX23">
        <v>394</v>
      </c>
      <c r="AY23">
        <v>0</v>
      </c>
      <c r="AZ23" t="s">
        <v>313</v>
      </c>
      <c r="BD23">
        <v>0</v>
      </c>
      <c r="BE23">
        <v>13</v>
      </c>
      <c r="BF23" t="s">
        <v>314</v>
      </c>
      <c r="BG23" t="s">
        <v>155</v>
      </c>
      <c r="BH23">
        <v>1687</v>
      </c>
      <c r="BI23">
        <v>46073</v>
      </c>
      <c r="BJ23">
        <v>21</v>
      </c>
      <c r="BK23">
        <v>394</v>
      </c>
      <c r="BL23">
        <v>46230</v>
      </c>
      <c r="BM23">
        <v>178</v>
      </c>
      <c r="BN23">
        <v>2081</v>
      </c>
      <c r="BO23">
        <v>0</v>
      </c>
      <c r="BP23" t="str">
        <f t="shared" si="0"/>
        <v>TMEIPRAN</v>
      </c>
    </row>
    <row r="24" spans="1:68" x14ac:dyDescent="0.25">
      <c r="A24" t="s">
        <v>390</v>
      </c>
      <c r="B24" t="s">
        <v>391</v>
      </c>
      <c r="C24" t="s">
        <v>392</v>
      </c>
      <c r="D24">
        <v>2736.06</v>
      </c>
      <c r="E24">
        <v>7468</v>
      </c>
      <c r="F24">
        <v>46054</v>
      </c>
      <c r="G24" t="s">
        <v>152</v>
      </c>
      <c r="H24" t="s">
        <v>393</v>
      </c>
      <c r="I24" t="s">
        <v>394</v>
      </c>
      <c r="J24" t="s">
        <v>306</v>
      </c>
      <c r="K24" t="s">
        <v>307</v>
      </c>
      <c r="L24">
        <v>46052</v>
      </c>
      <c r="M24">
        <v>46052</v>
      </c>
      <c r="N24">
        <v>46052</v>
      </c>
      <c r="O24" t="s">
        <v>395</v>
      </c>
      <c r="P24" t="s">
        <v>396</v>
      </c>
      <c r="Q24" t="s">
        <v>328</v>
      </c>
      <c r="R24" t="s">
        <v>310</v>
      </c>
      <c r="S24" t="s">
        <v>377</v>
      </c>
      <c r="T24" t="s">
        <v>342</v>
      </c>
      <c r="U24">
        <v>0</v>
      </c>
      <c r="V24">
        <v>2364</v>
      </c>
      <c r="W24">
        <v>1370</v>
      </c>
      <c r="X24">
        <v>0</v>
      </c>
      <c r="Y24">
        <v>3734</v>
      </c>
      <c r="Z24">
        <v>0</v>
      </c>
      <c r="AA24" t="s">
        <v>204</v>
      </c>
      <c r="AB24">
        <v>3734</v>
      </c>
      <c r="AC24">
        <v>2400</v>
      </c>
      <c r="AD24">
        <v>2230</v>
      </c>
      <c r="AE24">
        <v>2230</v>
      </c>
      <c r="AF24">
        <v>0</v>
      </c>
      <c r="AG24">
        <v>0</v>
      </c>
      <c r="AH24" t="s">
        <v>312</v>
      </c>
      <c r="AI24" t="s">
        <v>312</v>
      </c>
      <c r="AJ24" t="s">
        <v>312</v>
      </c>
      <c r="AK24">
        <v>0</v>
      </c>
      <c r="AL24">
        <v>3734</v>
      </c>
      <c r="AM24">
        <v>3261.2000000000003</v>
      </c>
      <c r="AN24">
        <v>472.80000000000007</v>
      </c>
      <c r="AO24">
        <v>3734.0000000000005</v>
      </c>
      <c r="AP24">
        <v>2230</v>
      </c>
      <c r="AQ24">
        <v>2230</v>
      </c>
      <c r="AR24">
        <v>3734</v>
      </c>
      <c r="AS24">
        <v>1784</v>
      </c>
      <c r="AT24">
        <v>0</v>
      </c>
      <c r="AU24">
        <v>46051</v>
      </c>
      <c r="AV24">
        <v>46162</v>
      </c>
      <c r="AW24" t="s">
        <v>204</v>
      </c>
      <c r="AX24">
        <v>0</v>
      </c>
      <c r="AY24">
        <v>446</v>
      </c>
      <c r="AZ24" t="s">
        <v>313</v>
      </c>
      <c r="BD24">
        <v>0</v>
      </c>
      <c r="BE24">
        <v>110</v>
      </c>
      <c r="BF24" t="s">
        <v>314</v>
      </c>
      <c r="BG24" t="s">
        <v>155</v>
      </c>
      <c r="BH24">
        <v>3261.2000000000003</v>
      </c>
      <c r="BI24">
        <v>46073</v>
      </c>
      <c r="BJ24">
        <v>21</v>
      </c>
      <c r="BK24">
        <v>472.80000000000007</v>
      </c>
      <c r="BL24">
        <v>46213</v>
      </c>
      <c r="BM24">
        <v>161</v>
      </c>
      <c r="BN24">
        <v>3734.0000000000005</v>
      </c>
      <c r="BO24">
        <v>0</v>
      </c>
      <c r="BP24" t="str">
        <f t="shared" si="0"/>
        <v>TMEIPRAN</v>
      </c>
    </row>
    <row r="25" spans="1:68" x14ac:dyDescent="0.25">
      <c r="A25" t="s">
        <v>397</v>
      </c>
      <c r="B25" t="s">
        <v>398</v>
      </c>
      <c r="C25" t="s">
        <v>399</v>
      </c>
      <c r="D25">
        <v>2736.06</v>
      </c>
      <c r="E25">
        <v>3734</v>
      </c>
      <c r="F25">
        <v>46054</v>
      </c>
      <c r="G25" t="s">
        <v>152</v>
      </c>
      <c r="H25" t="s">
        <v>393</v>
      </c>
      <c r="I25" t="s">
        <v>400</v>
      </c>
      <c r="J25" t="s">
        <v>306</v>
      </c>
      <c r="K25" t="s">
        <v>307</v>
      </c>
      <c r="L25">
        <v>46052</v>
      </c>
      <c r="M25">
        <v>46052</v>
      </c>
      <c r="N25">
        <v>46052</v>
      </c>
      <c r="O25" t="s">
        <v>395</v>
      </c>
      <c r="P25" t="s">
        <v>396</v>
      </c>
      <c r="Q25" t="s">
        <v>328</v>
      </c>
      <c r="R25" t="s">
        <v>310</v>
      </c>
      <c r="S25" t="s">
        <v>377</v>
      </c>
      <c r="T25" t="s">
        <v>342</v>
      </c>
      <c r="U25">
        <v>0</v>
      </c>
      <c r="V25">
        <v>2364</v>
      </c>
      <c r="W25">
        <v>1370</v>
      </c>
      <c r="X25">
        <v>0</v>
      </c>
      <c r="Y25">
        <v>3734</v>
      </c>
      <c r="Z25">
        <v>0</v>
      </c>
      <c r="AA25" t="s">
        <v>204</v>
      </c>
      <c r="AB25">
        <v>3734</v>
      </c>
      <c r="AC25">
        <v>2400</v>
      </c>
      <c r="AD25">
        <v>2230</v>
      </c>
      <c r="AE25">
        <v>2230</v>
      </c>
      <c r="AF25">
        <v>0</v>
      </c>
      <c r="AG25">
        <v>0</v>
      </c>
      <c r="AH25" t="s">
        <v>312</v>
      </c>
      <c r="AI25" t="s">
        <v>312</v>
      </c>
      <c r="AJ25" t="s">
        <v>312</v>
      </c>
      <c r="AK25">
        <v>0</v>
      </c>
      <c r="AL25">
        <v>3734</v>
      </c>
      <c r="AM25">
        <v>3261.2000000000003</v>
      </c>
      <c r="AN25">
        <v>472.80000000000007</v>
      </c>
      <c r="AO25">
        <v>3734.0000000000005</v>
      </c>
      <c r="AP25">
        <v>2230</v>
      </c>
      <c r="AQ25">
        <v>2230</v>
      </c>
      <c r="AR25">
        <v>3734</v>
      </c>
      <c r="AS25">
        <v>1784</v>
      </c>
      <c r="AT25">
        <v>0</v>
      </c>
      <c r="AU25">
        <v>46051</v>
      </c>
      <c r="AV25">
        <v>46162</v>
      </c>
      <c r="AW25" t="s">
        <v>204</v>
      </c>
      <c r="AX25">
        <v>0</v>
      </c>
      <c r="AY25">
        <v>446</v>
      </c>
      <c r="AZ25" t="s">
        <v>313</v>
      </c>
      <c r="BD25">
        <v>0</v>
      </c>
      <c r="BE25">
        <v>110</v>
      </c>
      <c r="BF25" t="s">
        <v>314</v>
      </c>
      <c r="BG25" t="s">
        <v>155</v>
      </c>
      <c r="BH25">
        <v>3261.2000000000003</v>
      </c>
      <c r="BI25">
        <v>46073</v>
      </c>
      <c r="BJ25">
        <v>21</v>
      </c>
      <c r="BK25">
        <v>472.80000000000007</v>
      </c>
      <c r="BL25">
        <v>46213</v>
      </c>
      <c r="BM25">
        <v>161</v>
      </c>
      <c r="BN25">
        <v>3734.0000000000005</v>
      </c>
      <c r="BO25">
        <v>0</v>
      </c>
      <c r="BP25" t="str">
        <f t="shared" si="0"/>
        <v>TMEIPRAN</v>
      </c>
    </row>
    <row r="26" spans="1:68" x14ac:dyDescent="0.25">
      <c r="A26" t="s">
        <v>401</v>
      </c>
      <c r="B26" t="s">
        <v>402</v>
      </c>
      <c r="C26" t="s">
        <v>403</v>
      </c>
      <c r="D26">
        <v>19314.280000000002</v>
      </c>
      <c r="E26">
        <v>23554</v>
      </c>
      <c r="F26">
        <v>46054</v>
      </c>
      <c r="G26" t="s">
        <v>159</v>
      </c>
      <c r="H26" t="s">
        <v>304</v>
      </c>
      <c r="I26" t="s">
        <v>404</v>
      </c>
      <c r="J26" t="s">
        <v>306</v>
      </c>
      <c r="K26" t="s">
        <v>307</v>
      </c>
      <c r="L26">
        <v>46059</v>
      </c>
      <c r="M26">
        <v>46059</v>
      </c>
      <c r="N26">
        <v>46059</v>
      </c>
      <c r="O26" t="s">
        <v>318</v>
      </c>
      <c r="P26" t="s">
        <v>204</v>
      </c>
      <c r="Q26" t="s">
        <v>309</v>
      </c>
      <c r="R26" t="s">
        <v>310</v>
      </c>
      <c r="S26" t="s">
        <v>209</v>
      </c>
      <c r="T26" t="s">
        <v>364</v>
      </c>
      <c r="U26">
        <v>793</v>
      </c>
      <c r="V26">
        <v>16019</v>
      </c>
      <c r="W26">
        <v>2579</v>
      </c>
      <c r="X26">
        <v>4163</v>
      </c>
      <c r="Y26">
        <v>23554</v>
      </c>
      <c r="Z26">
        <v>7535</v>
      </c>
      <c r="AA26">
        <v>46076</v>
      </c>
      <c r="AB26">
        <v>31089</v>
      </c>
      <c r="AC26">
        <v>14603.48</v>
      </c>
      <c r="AD26">
        <v>300</v>
      </c>
      <c r="AE26">
        <v>300</v>
      </c>
      <c r="AF26">
        <v>300</v>
      </c>
      <c r="AG26">
        <v>0</v>
      </c>
      <c r="AH26" t="s">
        <v>312</v>
      </c>
      <c r="AI26" t="s">
        <v>312</v>
      </c>
      <c r="AJ26" t="s">
        <v>312</v>
      </c>
      <c r="AK26">
        <v>0</v>
      </c>
      <c r="AL26">
        <v>31089</v>
      </c>
      <c r="AM26">
        <v>26283.299999999996</v>
      </c>
      <c r="AN26">
        <v>4805.7</v>
      </c>
      <c r="AO26">
        <v>31088.999999999996</v>
      </c>
      <c r="AP26">
        <v>300</v>
      </c>
      <c r="AQ26">
        <v>300</v>
      </c>
      <c r="AR26">
        <v>31089.000000000004</v>
      </c>
      <c r="AS26">
        <v>300</v>
      </c>
      <c r="AT26">
        <v>4710.8</v>
      </c>
      <c r="AU26">
        <v>46062</v>
      </c>
      <c r="AV26">
        <v>46069</v>
      </c>
      <c r="AW26" t="s">
        <v>204</v>
      </c>
      <c r="AX26">
        <v>0</v>
      </c>
      <c r="AY26">
        <v>0</v>
      </c>
      <c r="AZ26" t="s">
        <v>313</v>
      </c>
      <c r="BD26">
        <v>3</v>
      </c>
      <c r="BE26">
        <v>10</v>
      </c>
      <c r="BF26" t="s">
        <v>314</v>
      </c>
      <c r="BG26" t="s">
        <v>153</v>
      </c>
      <c r="BH26">
        <v>26283.299999999996</v>
      </c>
      <c r="BI26">
        <v>46081</v>
      </c>
      <c r="BJ26">
        <v>22</v>
      </c>
      <c r="BK26">
        <v>4805.7</v>
      </c>
      <c r="BL26">
        <v>46096</v>
      </c>
      <c r="BM26">
        <v>37</v>
      </c>
      <c r="BN26">
        <v>31088.999999999996</v>
      </c>
      <c r="BO26">
        <v>0</v>
      </c>
      <c r="BP26" t="str">
        <f t="shared" si="0"/>
        <v>HAEMBB</v>
      </c>
    </row>
    <row r="27" spans="1:68" x14ac:dyDescent="0.25">
      <c r="A27" t="s">
        <v>405</v>
      </c>
      <c r="B27" t="s">
        <v>406</v>
      </c>
      <c r="C27" t="s">
        <v>407</v>
      </c>
      <c r="D27">
        <v>13363.539999999999</v>
      </c>
      <c r="E27">
        <v>16297</v>
      </c>
      <c r="F27">
        <v>46054</v>
      </c>
      <c r="G27" t="s">
        <v>159</v>
      </c>
      <c r="H27" t="s">
        <v>304</v>
      </c>
      <c r="I27" t="s">
        <v>408</v>
      </c>
      <c r="J27" t="s">
        <v>306</v>
      </c>
      <c r="K27" t="s">
        <v>307</v>
      </c>
      <c r="L27">
        <v>46057</v>
      </c>
      <c r="M27">
        <v>46057</v>
      </c>
      <c r="N27">
        <v>46057</v>
      </c>
      <c r="O27" t="s">
        <v>326</v>
      </c>
      <c r="P27" t="s">
        <v>327</v>
      </c>
      <c r="Q27" t="s">
        <v>328</v>
      </c>
      <c r="R27" t="s">
        <v>310</v>
      </c>
      <c r="S27" t="s">
        <v>209</v>
      </c>
      <c r="T27" t="s">
        <v>364</v>
      </c>
      <c r="U27">
        <v>793</v>
      </c>
      <c r="V27">
        <v>11339</v>
      </c>
      <c r="W27">
        <v>2579</v>
      </c>
      <c r="X27">
        <v>1586</v>
      </c>
      <c r="Y27">
        <v>16297</v>
      </c>
      <c r="Z27">
        <v>792</v>
      </c>
      <c r="AA27">
        <v>46076</v>
      </c>
      <c r="AB27">
        <v>17089</v>
      </c>
      <c r="AC27">
        <v>10104.14</v>
      </c>
      <c r="AD27">
        <v>8790</v>
      </c>
      <c r="AE27">
        <v>8490</v>
      </c>
      <c r="AF27">
        <v>300</v>
      </c>
      <c r="AG27">
        <v>0</v>
      </c>
      <c r="AH27" t="s">
        <v>312</v>
      </c>
      <c r="AI27" t="s">
        <v>312</v>
      </c>
      <c r="AJ27" t="s">
        <v>312</v>
      </c>
      <c r="AK27">
        <v>1137</v>
      </c>
      <c r="AL27">
        <v>17089</v>
      </c>
      <c r="AM27">
        <v>13449.699999999999</v>
      </c>
      <c r="AN27">
        <v>3639.2999999999997</v>
      </c>
      <c r="AO27">
        <v>17089</v>
      </c>
      <c r="AP27">
        <v>8790</v>
      </c>
      <c r="AQ27">
        <v>8790</v>
      </c>
      <c r="AR27">
        <v>17089</v>
      </c>
      <c r="AS27">
        <v>8790</v>
      </c>
      <c r="AT27">
        <v>0</v>
      </c>
      <c r="AU27">
        <v>46062</v>
      </c>
      <c r="AV27">
        <v>46066</v>
      </c>
      <c r="AW27" t="s">
        <v>204</v>
      </c>
      <c r="AX27">
        <v>0</v>
      </c>
      <c r="AY27">
        <v>0</v>
      </c>
      <c r="AZ27" t="s">
        <v>313</v>
      </c>
      <c r="BD27">
        <v>5</v>
      </c>
      <c r="BE27">
        <v>9</v>
      </c>
      <c r="BF27" t="s">
        <v>314</v>
      </c>
      <c r="BG27" t="s">
        <v>153</v>
      </c>
      <c r="BH27">
        <v>13449.699999999999</v>
      </c>
      <c r="BI27">
        <v>46081</v>
      </c>
      <c r="BJ27">
        <v>24</v>
      </c>
      <c r="BK27">
        <v>3639.2999999999997</v>
      </c>
      <c r="BL27">
        <v>46096</v>
      </c>
      <c r="BM27">
        <v>39</v>
      </c>
      <c r="BN27">
        <v>17089</v>
      </c>
      <c r="BO27">
        <v>0</v>
      </c>
      <c r="BP27" t="str">
        <f t="shared" si="0"/>
        <v>HAEMBB</v>
      </c>
    </row>
    <row r="28" spans="1:68" x14ac:dyDescent="0.25">
      <c r="A28" t="s">
        <v>409</v>
      </c>
      <c r="B28" t="s">
        <v>410</v>
      </c>
      <c r="C28" t="s">
        <v>411</v>
      </c>
      <c r="D28">
        <v>10481.240000000002</v>
      </c>
      <c r="E28">
        <v>12782</v>
      </c>
      <c r="F28">
        <v>46054</v>
      </c>
      <c r="G28" t="s">
        <v>159</v>
      </c>
      <c r="H28" t="s">
        <v>304</v>
      </c>
      <c r="I28" t="s">
        <v>412</v>
      </c>
      <c r="J28" t="s">
        <v>306</v>
      </c>
      <c r="K28" t="s">
        <v>307</v>
      </c>
      <c r="L28">
        <v>46057</v>
      </c>
      <c r="M28">
        <v>46058</v>
      </c>
      <c r="N28">
        <v>46058</v>
      </c>
      <c r="O28" t="s">
        <v>318</v>
      </c>
      <c r="P28" t="s">
        <v>204</v>
      </c>
      <c r="Q28" t="s">
        <v>309</v>
      </c>
      <c r="R28" t="s">
        <v>310</v>
      </c>
      <c r="S28" t="s">
        <v>209</v>
      </c>
      <c r="T28" t="s">
        <v>364</v>
      </c>
      <c r="U28">
        <v>793</v>
      </c>
      <c r="V28">
        <v>7824</v>
      </c>
      <c r="W28">
        <v>2579</v>
      </c>
      <c r="X28">
        <v>1586</v>
      </c>
      <c r="Y28">
        <v>12782</v>
      </c>
      <c r="Z28">
        <v>1584</v>
      </c>
      <c r="AA28">
        <v>46076</v>
      </c>
      <c r="AB28">
        <v>14366</v>
      </c>
      <c r="AC28">
        <v>7924.84</v>
      </c>
      <c r="AD28">
        <v>300</v>
      </c>
      <c r="AE28">
        <v>300</v>
      </c>
      <c r="AF28">
        <v>300</v>
      </c>
      <c r="AG28">
        <v>0</v>
      </c>
      <c r="AH28" t="s">
        <v>312</v>
      </c>
      <c r="AI28" t="s">
        <v>312</v>
      </c>
      <c r="AJ28" t="s">
        <v>312</v>
      </c>
      <c r="AK28">
        <v>0</v>
      </c>
      <c r="AL28">
        <v>15952</v>
      </c>
      <c r="AM28">
        <v>16353.299999999997</v>
      </c>
      <c r="AN28">
        <v>4883.6999999999989</v>
      </c>
      <c r="AO28">
        <v>21236.999999999996</v>
      </c>
      <c r="AP28">
        <v>300</v>
      </c>
      <c r="AQ28">
        <v>300</v>
      </c>
      <c r="AR28">
        <v>15952</v>
      </c>
      <c r="AS28">
        <v>300</v>
      </c>
      <c r="AT28">
        <v>2556.4</v>
      </c>
      <c r="AU28">
        <v>46068</v>
      </c>
      <c r="AV28">
        <v>46073</v>
      </c>
      <c r="AW28" t="s">
        <v>204</v>
      </c>
      <c r="AX28">
        <v>0</v>
      </c>
      <c r="AY28">
        <v>0</v>
      </c>
      <c r="AZ28" t="s">
        <v>313</v>
      </c>
      <c r="BD28">
        <v>10</v>
      </c>
      <c r="BE28">
        <v>15</v>
      </c>
      <c r="BF28" t="s">
        <v>314</v>
      </c>
      <c r="BG28" t="s">
        <v>153</v>
      </c>
      <c r="BH28">
        <v>16353.299999999997</v>
      </c>
      <c r="BI28">
        <v>46081</v>
      </c>
      <c r="BJ28">
        <v>23</v>
      </c>
      <c r="BK28">
        <v>4883.6999999999989</v>
      </c>
      <c r="BL28">
        <v>46096</v>
      </c>
      <c r="BM28">
        <v>38</v>
      </c>
      <c r="BN28">
        <v>21236.999999999996</v>
      </c>
      <c r="BO28">
        <v>0</v>
      </c>
      <c r="BP28" t="str">
        <f t="shared" si="0"/>
        <v>HAEMBB</v>
      </c>
    </row>
    <row r="29" spans="1:68" x14ac:dyDescent="0.25">
      <c r="A29" t="s">
        <v>413</v>
      </c>
      <c r="B29" t="s">
        <v>414</v>
      </c>
      <c r="C29" t="s">
        <v>415</v>
      </c>
      <c r="D29">
        <v>20659.079999999998</v>
      </c>
      <c r="E29">
        <v>25194</v>
      </c>
      <c r="F29">
        <v>46054</v>
      </c>
      <c r="G29" t="s">
        <v>159</v>
      </c>
      <c r="H29" t="s">
        <v>304</v>
      </c>
      <c r="I29" t="s">
        <v>416</v>
      </c>
      <c r="J29" t="s">
        <v>306</v>
      </c>
      <c r="K29" t="s">
        <v>307</v>
      </c>
      <c r="L29">
        <v>46056</v>
      </c>
      <c r="M29">
        <v>46056</v>
      </c>
      <c r="N29">
        <v>46056</v>
      </c>
      <c r="O29" t="s">
        <v>318</v>
      </c>
      <c r="P29" t="s">
        <v>204</v>
      </c>
      <c r="Q29" t="s">
        <v>309</v>
      </c>
      <c r="R29" t="s">
        <v>310</v>
      </c>
      <c r="S29" t="s">
        <v>209</v>
      </c>
      <c r="T29" t="s">
        <v>364</v>
      </c>
      <c r="U29">
        <v>793</v>
      </c>
      <c r="V29">
        <v>17659</v>
      </c>
      <c r="W29">
        <v>2579</v>
      </c>
      <c r="X29">
        <v>4163</v>
      </c>
      <c r="Y29">
        <v>25194</v>
      </c>
      <c r="Z29">
        <v>0</v>
      </c>
      <c r="AA29" t="s">
        <v>204</v>
      </c>
      <c r="AB29">
        <v>25194</v>
      </c>
      <c r="AC29">
        <v>15620.28</v>
      </c>
      <c r="AD29">
        <v>300</v>
      </c>
      <c r="AE29">
        <v>300</v>
      </c>
      <c r="AF29">
        <v>300</v>
      </c>
      <c r="AG29">
        <v>0</v>
      </c>
      <c r="AH29" t="s">
        <v>312</v>
      </c>
      <c r="AI29" t="s">
        <v>312</v>
      </c>
      <c r="AJ29" t="s">
        <v>312</v>
      </c>
      <c r="AK29">
        <v>0</v>
      </c>
      <c r="AL29">
        <v>25194</v>
      </c>
      <c r="AM29">
        <v>19896.3</v>
      </c>
      <c r="AN29">
        <v>5297.7000000000007</v>
      </c>
      <c r="AO29">
        <v>25194</v>
      </c>
      <c r="AP29">
        <v>300</v>
      </c>
      <c r="AQ29">
        <v>300</v>
      </c>
      <c r="AR29">
        <v>25194.000000000007</v>
      </c>
      <c r="AS29">
        <v>300</v>
      </c>
      <c r="AT29">
        <v>5038.8</v>
      </c>
      <c r="AU29">
        <v>46064</v>
      </c>
      <c r="AV29">
        <v>46069</v>
      </c>
      <c r="AW29" t="s">
        <v>204</v>
      </c>
      <c r="AX29">
        <v>0</v>
      </c>
      <c r="AY29">
        <v>0</v>
      </c>
      <c r="AZ29" t="s">
        <v>313</v>
      </c>
      <c r="BD29">
        <v>8</v>
      </c>
      <c r="BE29">
        <v>13</v>
      </c>
      <c r="BF29" t="s">
        <v>314</v>
      </c>
      <c r="BG29" t="s">
        <v>153</v>
      </c>
      <c r="BH29">
        <v>19896.3</v>
      </c>
      <c r="BI29">
        <v>46081</v>
      </c>
      <c r="BJ29">
        <v>25</v>
      </c>
      <c r="BK29">
        <v>5297.7000000000007</v>
      </c>
      <c r="BL29">
        <v>46096</v>
      </c>
      <c r="BM29">
        <v>40</v>
      </c>
      <c r="BN29">
        <v>25194</v>
      </c>
      <c r="BO29">
        <v>0</v>
      </c>
      <c r="BP29" t="str">
        <f t="shared" si="0"/>
        <v>HAEMBB</v>
      </c>
    </row>
    <row r="30" spans="1:68" x14ac:dyDescent="0.25">
      <c r="A30" t="s">
        <v>417</v>
      </c>
      <c r="B30" t="s">
        <v>418</v>
      </c>
      <c r="C30" t="s">
        <v>419</v>
      </c>
      <c r="D30">
        <v>13179.039999999999</v>
      </c>
      <c r="E30">
        <v>16072</v>
      </c>
      <c r="F30">
        <v>46054</v>
      </c>
      <c r="G30" t="s">
        <v>159</v>
      </c>
      <c r="H30" t="s">
        <v>304</v>
      </c>
      <c r="I30" t="s">
        <v>420</v>
      </c>
      <c r="J30" t="s">
        <v>306</v>
      </c>
      <c r="K30" t="s">
        <v>307</v>
      </c>
      <c r="L30">
        <v>46059</v>
      </c>
      <c r="M30">
        <v>46059</v>
      </c>
      <c r="N30">
        <v>46059</v>
      </c>
      <c r="O30" t="s">
        <v>308</v>
      </c>
      <c r="P30" t="s">
        <v>204</v>
      </c>
      <c r="Q30" t="s">
        <v>309</v>
      </c>
      <c r="R30" t="s">
        <v>310</v>
      </c>
      <c r="S30" t="s">
        <v>209</v>
      </c>
      <c r="T30" t="s">
        <v>364</v>
      </c>
      <c r="U30">
        <v>793</v>
      </c>
      <c r="V30">
        <v>8537</v>
      </c>
      <c r="W30">
        <v>2579</v>
      </c>
      <c r="X30">
        <v>4163</v>
      </c>
      <c r="Y30">
        <v>16072</v>
      </c>
      <c r="Z30">
        <v>528</v>
      </c>
      <c r="AA30">
        <v>46076</v>
      </c>
      <c r="AB30">
        <v>16600</v>
      </c>
      <c r="AC30">
        <v>9964.64</v>
      </c>
      <c r="AD30">
        <v>300</v>
      </c>
      <c r="AE30">
        <v>300</v>
      </c>
      <c r="AF30">
        <v>300</v>
      </c>
      <c r="AG30">
        <v>0</v>
      </c>
      <c r="AH30" t="s">
        <v>312</v>
      </c>
      <c r="AI30" t="s">
        <v>312</v>
      </c>
      <c r="AJ30" t="s">
        <v>312</v>
      </c>
      <c r="AK30">
        <v>0</v>
      </c>
      <c r="AL30">
        <v>16600</v>
      </c>
      <c r="AM30">
        <v>13880.499999999998</v>
      </c>
      <c r="AN30">
        <v>2719.4999999999995</v>
      </c>
      <c r="AO30">
        <v>16599.999999999996</v>
      </c>
      <c r="AP30">
        <v>360</v>
      </c>
      <c r="AQ30">
        <v>240</v>
      </c>
      <c r="AR30">
        <v>16600</v>
      </c>
      <c r="AS30">
        <v>240</v>
      </c>
      <c r="AT30">
        <v>3214.4</v>
      </c>
      <c r="AU30">
        <v>46059</v>
      </c>
      <c r="AV30">
        <v>46063</v>
      </c>
      <c r="AW30" t="s">
        <v>204</v>
      </c>
      <c r="AX30">
        <v>0</v>
      </c>
      <c r="AY30">
        <v>60</v>
      </c>
      <c r="AZ30" t="s">
        <v>313</v>
      </c>
      <c r="BD30">
        <v>0</v>
      </c>
      <c r="BE30">
        <v>4</v>
      </c>
      <c r="BF30" t="s">
        <v>314</v>
      </c>
      <c r="BG30" t="s">
        <v>153</v>
      </c>
      <c r="BH30">
        <v>13880.499999999998</v>
      </c>
      <c r="BI30">
        <v>46067</v>
      </c>
      <c r="BJ30">
        <v>8</v>
      </c>
      <c r="BK30">
        <v>2719.4999999999995</v>
      </c>
      <c r="BL30">
        <v>46096</v>
      </c>
      <c r="BM30">
        <v>37</v>
      </c>
      <c r="BN30">
        <v>16599.999999999996</v>
      </c>
      <c r="BO30">
        <v>0</v>
      </c>
      <c r="BP30" t="str">
        <f t="shared" si="0"/>
        <v>HAEMBB</v>
      </c>
    </row>
    <row r="31" spans="1:68" x14ac:dyDescent="0.25">
      <c r="A31" t="s">
        <v>421</v>
      </c>
      <c r="B31" t="s">
        <v>422</v>
      </c>
      <c r="C31" t="s">
        <v>423</v>
      </c>
      <c r="D31">
        <v>13179.039999999999</v>
      </c>
      <c r="E31">
        <v>16072</v>
      </c>
      <c r="F31">
        <v>46054</v>
      </c>
      <c r="G31" t="s">
        <v>159</v>
      </c>
      <c r="H31" t="s">
        <v>304</v>
      </c>
      <c r="I31" t="s">
        <v>424</v>
      </c>
      <c r="J31" t="s">
        <v>306</v>
      </c>
      <c r="K31" t="s">
        <v>307</v>
      </c>
      <c r="L31">
        <v>46058</v>
      </c>
      <c r="M31">
        <v>46058</v>
      </c>
      <c r="N31">
        <v>46058</v>
      </c>
      <c r="O31" t="s">
        <v>326</v>
      </c>
      <c r="P31" t="s">
        <v>327</v>
      </c>
      <c r="Q31" t="s">
        <v>328</v>
      </c>
      <c r="R31" t="s">
        <v>310</v>
      </c>
      <c r="S31" t="s">
        <v>209</v>
      </c>
      <c r="T31" t="s">
        <v>364</v>
      </c>
      <c r="U31">
        <v>793</v>
      </c>
      <c r="V31">
        <v>8537</v>
      </c>
      <c r="W31">
        <v>2579</v>
      </c>
      <c r="X31">
        <v>4163</v>
      </c>
      <c r="Y31">
        <v>16072</v>
      </c>
      <c r="Z31">
        <v>1056</v>
      </c>
      <c r="AA31">
        <v>46076</v>
      </c>
      <c r="AB31">
        <v>17128</v>
      </c>
      <c r="AC31">
        <v>9964.64</v>
      </c>
      <c r="AD31">
        <v>7320</v>
      </c>
      <c r="AE31">
        <v>7020</v>
      </c>
      <c r="AF31">
        <v>300</v>
      </c>
      <c r="AG31">
        <v>0</v>
      </c>
      <c r="AH31" t="s">
        <v>312</v>
      </c>
      <c r="AI31" t="s">
        <v>312</v>
      </c>
      <c r="AJ31" t="s">
        <v>312</v>
      </c>
      <c r="AK31">
        <v>0</v>
      </c>
      <c r="AL31">
        <v>17128</v>
      </c>
      <c r="AM31">
        <v>14250.099999999999</v>
      </c>
      <c r="AN31">
        <v>2877.8999999999996</v>
      </c>
      <c r="AO31">
        <v>17128</v>
      </c>
      <c r="AP31">
        <v>7380</v>
      </c>
      <c r="AQ31">
        <v>7260</v>
      </c>
      <c r="AR31">
        <v>17128</v>
      </c>
      <c r="AS31">
        <v>7260</v>
      </c>
      <c r="AT31">
        <v>0</v>
      </c>
      <c r="AU31">
        <v>46063</v>
      </c>
      <c r="AV31">
        <v>46066</v>
      </c>
      <c r="AW31" t="s">
        <v>204</v>
      </c>
      <c r="AX31">
        <v>0</v>
      </c>
      <c r="AY31">
        <v>60</v>
      </c>
      <c r="AZ31" t="s">
        <v>313</v>
      </c>
      <c r="BD31">
        <v>5</v>
      </c>
      <c r="BE31">
        <v>8</v>
      </c>
      <c r="BF31" t="s">
        <v>314</v>
      </c>
      <c r="BG31" t="s">
        <v>153</v>
      </c>
      <c r="BH31">
        <v>14250.099999999999</v>
      </c>
      <c r="BI31">
        <v>46081</v>
      </c>
      <c r="BJ31">
        <v>23</v>
      </c>
      <c r="BK31">
        <v>2877.8999999999996</v>
      </c>
      <c r="BL31">
        <v>46087</v>
      </c>
      <c r="BM31">
        <v>29</v>
      </c>
      <c r="BN31">
        <v>17128</v>
      </c>
      <c r="BO31">
        <v>0</v>
      </c>
      <c r="BP31" t="str">
        <f t="shared" si="0"/>
        <v>HAEMBB</v>
      </c>
    </row>
    <row r="32" spans="1:68" x14ac:dyDescent="0.25">
      <c r="A32" t="s">
        <v>425</v>
      </c>
      <c r="B32" t="s">
        <v>426</v>
      </c>
      <c r="C32" t="s">
        <v>427</v>
      </c>
      <c r="D32">
        <v>12810.86</v>
      </c>
      <c r="E32">
        <v>15623</v>
      </c>
      <c r="F32">
        <v>46066</v>
      </c>
      <c r="G32" t="s">
        <v>159</v>
      </c>
      <c r="H32" t="s">
        <v>304</v>
      </c>
      <c r="I32" t="s">
        <v>428</v>
      </c>
      <c r="J32" t="s">
        <v>306</v>
      </c>
      <c r="K32" t="s">
        <v>307</v>
      </c>
      <c r="L32">
        <v>46063</v>
      </c>
      <c r="M32">
        <v>46063</v>
      </c>
      <c r="N32">
        <v>46063</v>
      </c>
      <c r="O32" t="s">
        <v>308</v>
      </c>
      <c r="P32" t="s">
        <v>204</v>
      </c>
      <c r="Q32" t="s">
        <v>309</v>
      </c>
      <c r="R32" t="s">
        <v>310</v>
      </c>
      <c r="S32" t="s">
        <v>209</v>
      </c>
      <c r="T32" t="s">
        <v>429</v>
      </c>
      <c r="U32">
        <v>793</v>
      </c>
      <c r="V32">
        <v>8088</v>
      </c>
      <c r="W32">
        <v>2579</v>
      </c>
      <c r="X32">
        <v>4163</v>
      </c>
      <c r="Y32">
        <v>15623</v>
      </c>
      <c r="Z32">
        <v>1584</v>
      </c>
      <c r="AA32">
        <v>46076</v>
      </c>
      <c r="AB32">
        <v>17207</v>
      </c>
      <c r="AC32">
        <v>9686.26</v>
      </c>
      <c r="AD32">
        <v>300</v>
      </c>
      <c r="AE32">
        <v>300</v>
      </c>
      <c r="AF32">
        <v>300</v>
      </c>
      <c r="AG32">
        <v>0</v>
      </c>
      <c r="AH32" t="s">
        <v>312</v>
      </c>
      <c r="AI32" t="s">
        <v>312</v>
      </c>
      <c r="AJ32" t="s">
        <v>312</v>
      </c>
      <c r="AK32">
        <v>0</v>
      </c>
      <c r="AL32">
        <v>17207</v>
      </c>
      <c r="AM32">
        <v>14305.4</v>
      </c>
      <c r="AN32">
        <v>2901.5999999999995</v>
      </c>
      <c r="AO32">
        <v>17207</v>
      </c>
      <c r="AP32">
        <v>300</v>
      </c>
      <c r="AQ32">
        <v>300</v>
      </c>
      <c r="AR32">
        <v>17207.000000000004</v>
      </c>
      <c r="AS32">
        <v>240</v>
      </c>
      <c r="AT32">
        <v>3124.6000000000004</v>
      </c>
      <c r="AU32">
        <v>46072</v>
      </c>
      <c r="AV32">
        <v>46077</v>
      </c>
      <c r="AW32" t="s">
        <v>204</v>
      </c>
      <c r="AX32">
        <v>0</v>
      </c>
      <c r="AY32">
        <v>60</v>
      </c>
      <c r="AZ32" t="s">
        <v>313</v>
      </c>
      <c r="BD32">
        <v>9</v>
      </c>
      <c r="BE32">
        <v>14</v>
      </c>
      <c r="BF32" t="s">
        <v>314</v>
      </c>
      <c r="BG32" t="s">
        <v>153</v>
      </c>
      <c r="BH32">
        <v>14305.4</v>
      </c>
      <c r="BI32">
        <v>46087</v>
      </c>
      <c r="BJ32">
        <v>24</v>
      </c>
      <c r="BK32">
        <v>2901.5999999999995</v>
      </c>
      <c r="BL32">
        <v>46096</v>
      </c>
      <c r="BM32">
        <v>33</v>
      </c>
      <c r="BN32">
        <v>17207</v>
      </c>
      <c r="BO32">
        <v>0</v>
      </c>
      <c r="BP32" t="str">
        <f t="shared" si="0"/>
        <v>HAEMBB</v>
      </c>
    </row>
    <row r="33" spans="1:68" x14ac:dyDescent="0.25">
      <c r="A33" t="s">
        <v>430</v>
      </c>
      <c r="B33" t="s">
        <v>431</v>
      </c>
      <c r="C33" t="s">
        <v>432</v>
      </c>
      <c r="D33">
        <v>9765.380000000001</v>
      </c>
      <c r="E33">
        <v>11909</v>
      </c>
      <c r="F33">
        <v>46066</v>
      </c>
      <c r="G33" t="s">
        <v>159</v>
      </c>
      <c r="H33" t="s">
        <v>304</v>
      </c>
      <c r="I33" t="s">
        <v>433</v>
      </c>
      <c r="J33" t="s">
        <v>306</v>
      </c>
      <c r="K33" t="s">
        <v>307</v>
      </c>
      <c r="L33">
        <v>46065</v>
      </c>
      <c r="M33">
        <v>46066</v>
      </c>
      <c r="N33">
        <v>46066</v>
      </c>
      <c r="O33" t="s">
        <v>308</v>
      </c>
      <c r="P33" t="s">
        <v>204</v>
      </c>
      <c r="Q33" t="s">
        <v>309</v>
      </c>
      <c r="R33" t="s">
        <v>310</v>
      </c>
      <c r="S33" t="s">
        <v>209</v>
      </c>
      <c r="T33" t="s">
        <v>429</v>
      </c>
      <c r="U33">
        <v>793</v>
      </c>
      <c r="V33">
        <v>6951</v>
      </c>
      <c r="W33">
        <v>2579</v>
      </c>
      <c r="X33">
        <v>1586</v>
      </c>
      <c r="Y33">
        <v>11909</v>
      </c>
      <c r="Z33">
        <v>1452</v>
      </c>
      <c r="AA33">
        <v>46076</v>
      </c>
      <c r="AB33">
        <v>13361</v>
      </c>
      <c r="AC33">
        <v>7383.58</v>
      </c>
      <c r="AD33">
        <v>300</v>
      </c>
      <c r="AE33">
        <v>300</v>
      </c>
      <c r="AF33">
        <v>300</v>
      </c>
      <c r="AG33">
        <v>0</v>
      </c>
      <c r="AH33" t="s">
        <v>312</v>
      </c>
      <c r="AI33" t="s">
        <v>312</v>
      </c>
      <c r="AJ33" t="s">
        <v>312</v>
      </c>
      <c r="AK33">
        <v>0</v>
      </c>
      <c r="AL33">
        <v>13361</v>
      </c>
      <c r="AM33">
        <v>10840.1</v>
      </c>
      <c r="AN33">
        <v>2520.9000000000005</v>
      </c>
      <c r="AO33">
        <v>13361</v>
      </c>
      <c r="AP33">
        <v>300</v>
      </c>
      <c r="AQ33">
        <v>300</v>
      </c>
      <c r="AR33">
        <v>13361</v>
      </c>
      <c r="AS33">
        <v>300</v>
      </c>
      <c r="AT33">
        <v>2381.8000000000002</v>
      </c>
      <c r="AU33">
        <v>46069</v>
      </c>
      <c r="AV33">
        <v>46072</v>
      </c>
      <c r="AW33" t="s">
        <v>204</v>
      </c>
      <c r="AX33">
        <v>0</v>
      </c>
      <c r="AY33">
        <v>0</v>
      </c>
      <c r="AZ33" t="s">
        <v>313</v>
      </c>
      <c r="BD33">
        <v>3</v>
      </c>
      <c r="BE33">
        <v>6</v>
      </c>
      <c r="BF33" t="s">
        <v>314</v>
      </c>
      <c r="BG33" t="s">
        <v>153</v>
      </c>
      <c r="BH33">
        <v>10840.1</v>
      </c>
      <c r="BI33">
        <v>46081</v>
      </c>
      <c r="BJ33">
        <v>15</v>
      </c>
      <c r="BK33">
        <v>2520.9000000000005</v>
      </c>
      <c r="BL33">
        <v>46087</v>
      </c>
      <c r="BM33">
        <v>21</v>
      </c>
      <c r="BN33">
        <v>13361</v>
      </c>
      <c r="BO33">
        <v>0</v>
      </c>
      <c r="BP33" t="str">
        <f t="shared" si="0"/>
        <v>HAEMBB</v>
      </c>
    </row>
    <row r="34" spans="1:68" x14ac:dyDescent="0.25">
      <c r="A34" t="s">
        <v>434</v>
      </c>
      <c r="B34" t="s">
        <v>435</v>
      </c>
      <c r="C34" t="s">
        <v>436</v>
      </c>
      <c r="D34">
        <v>9765.380000000001</v>
      </c>
      <c r="E34">
        <v>11909</v>
      </c>
      <c r="F34">
        <v>46066</v>
      </c>
      <c r="G34" t="s">
        <v>159</v>
      </c>
      <c r="H34" t="s">
        <v>304</v>
      </c>
      <c r="I34" t="s">
        <v>437</v>
      </c>
      <c r="J34" t="s">
        <v>306</v>
      </c>
      <c r="K34" t="s">
        <v>307</v>
      </c>
      <c r="L34">
        <v>46065</v>
      </c>
      <c r="M34">
        <v>46065</v>
      </c>
      <c r="N34">
        <v>46065</v>
      </c>
      <c r="O34" t="s">
        <v>308</v>
      </c>
      <c r="P34" t="s">
        <v>204</v>
      </c>
      <c r="Q34" t="s">
        <v>309</v>
      </c>
      <c r="R34" t="s">
        <v>310</v>
      </c>
      <c r="S34" t="s">
        <v>209</v>
      </c>
      <c r="T34" t="s">
        <v>429</v>
      </c>
      <c r="U34">
        <v>793</v>
      </c>
      <c r="V34">
        <v>6951</v>
      </c>
      <c r="W34">
        <v>2579</v>
      </c>
      <c r="X34">
        <v>1586</v>
      </c>
      <c r="Y34">
        <v>11909</v>
      </c>
      <c r="Z34">
        <v>1452</v>
      </c>
      <c r="AA34">
        <v>46076</v>
      </c>
      <c r="AB34">
        <v>13361</v>
      </c>
      <c r="AC34">
        <v>7383.58</v>
      </c>
      <c r="AD34">
        <v>300</v>
      </c>
      <c r="AE34">
        <v>300</v>
      </c>
      <c r="AF34">
        <v>300</v>
      </c>
      <c r="AG34">
        <v>0</v>
      </c>
      <c r="AH34" t="s">
        <v>312</v>
      </c>
      <c r="AI34" t="s">
        <v>312</v>
      </c>
      <c r="AJ34" t="s">
        <v>312</v>
      </c>
      <c r="AK34">
        <v>0</v>
      </c>
      <c r="AL34">
        <v>14498</v>
      </c>
      <c r="AM34">
        <v>11636</v>
      </c>
      <c r="AN34">
        <v>2862</v>
      </c>
      <c r="AO34">
        <v>14498</v>
      </c>
      <c r="AP34">
        <v>300</v>
      </c>
      <c r="AQ34">
        <v>300</v>
      </c>
      <c r="AR34">
        <v>14498</v>
      </c>
      <c r="AS34">
        <v>300</v>
      </c>
      <c r="AT34">
        <v>2381.8000000000002</v>
      </c>
      <c r="AU34">
        <v>46066</v>
      </c>
      <c r="AV34">
        <v>46069</v>
      </c>
      <c r="AW34" t="s">
        <v>204</v>
      </c>
      <c r="AX34">
        <v>0</v>
      </c>
      <c r="AY34">
        <v>0</v>
      </c>
      <c r="AZ34" t="s">
        <v>313</v>
      </c>
      <c r="BD34">
        <v>1</v>
      </c>
      <c r="BE34">
        <v>4</v>
      </c>
      <c r="BF34" t="s">
        <v>314</v>
      </c>
      <c r="BG34" t="s">
        <v>153</v>
      </c>
      <c r="BH34">
        <v>11636</v>
      </c>
      <c r="BI34">
        <v>46081</v>
      </c>
      <c r="BJ34">
        <v>16</v>
      </c>
      <c r="BK34">
        <v>2862</v>
      </c>
      <c r="BL34">
        <v>46087</v>
      </c>
      <c r="BM34">
        <v>22</v>
      </c>
      <c r="BN34">
        <v>14498</v>
      </c>
      <c r="BO34">
        <v>0</v>
      </c>
      <c r="BP34" t="str">
        <f t="shared" si="0"/>
        <v>HAEMBB</v>
      </c>
    </row>
    <row r="35" spans="1:68" x14ac:dyDescent="0.25">
      <c r="A35" t="s">
        <v>438</v>
      </c>
      <c r="B35" t="s">
        <v>439</v>
      </c>
      <c r="C35" t="s">
        <v>440</v>
      </c>
      <c r="D35">
        <v>9765.380000000001</v>
      </c>
      <c r="E35">
        <v>11909</v>
      </c>
      <c r="F35">
        <v>46066</v>
      </c>
      <c r="G35" t="s">
        <v>159</v>
      </c>
      <c r="H35" t="s">
        <v>304</v>
      </c>
      <c r="I35" t="s">
        <v>441</v>
      </c>
      <c r="J35" t="s">
        <v>306</v>
      </c>
      <c r="K35" t="s">
        <v>307</v>
      </c>
      <c r="L35">
        <v>46064</v>
      </c>
      <c r="M35">
        <v>46064</v>
      </c>
      <c r="N35">
        <v>46064</v>
      </c>
      <c r="O35" t="s">
        <v>318</v>
      </c>
      <c r="P35" t="s">
        <v>204</v>
      </c>
      <c r="Q35" t="s">
        <v>309</v>
      </c>
      <c r="R35" t="s">
        <v>310</v>
      </c>
      <c r="S35" t="s">
        <v>209</v>
      </c>
      <c r="T35" t="s">
        <v>429</v>
      </c>
      <c r="U35">
        <v>793</v>
      </c>
      <c r="V35">
        <v>6951</v>
      </c>
      <c r="W35">
        <v>2579</v>
      </c>
      <c r="X35">
        <v>1586</v>
      </c>
      <c r="Y35">
        <v>11909</v>
      </c>
      <c r="Z35">
        <v>396</v>
      </c>
      <c r="AA35">
        <v>46076</v>
      </c>
      <c r="AB35">
        <v>12305</v>
      </c>
      <c r="AC35">
        <v>7383.58</v>
      </c>
      <c r="AD35">
        <v>300</v>
      </c>
      <c r="AE35">
        <v>300</v>
      </c>
      <c r="AF35">
        <v>300</v>
      </c>
      <c r="AG35">
        <v>0</v>
      </c>
      <c r="AH35" t="s">
        <v>312</v>
      </c>
      <c r="AI35" t="s">
        <v>312</v>
      </c>
      <c r="AJ35" t="s">
        <v>312</v>
      </c>
      <c r="AK35">
        <v>0</v>
      </c>
      <c r="AL35">
        <v>12833</v>
      </c>
      <c r="AM35">
        <v>10470.5</v>
      </c>
      <c r="AN35">
        <v>2362.5</v>
      </c>
      <c r="AO35">
        <v>12833</v>
      </c>
      <c r="AP35">
        <v>300</v>
      </c>
      <c r="AQ35">
        <v>300</v>
      </c>
      <c r="AR35">
        <v>12833</v>
      </c>
      <c r="AS35">
        <v>300</v>
      </c>
      <c r="AT35">
        <v>2381.8000000000002</v>
      </c>
      <c r="AU35">
        <v>46069</v>
      </c>
      <c r="AV35">
        <v>46072</v>
      </c>
      <c r="AW35" t="s">
        <v>204</v>
      </c>
      <c r="AX35">
        <v>0</v>
      </c>
      <c r="AY35">
        <v>0</v>
      </c>
      <c r="AZ35" t="s">
        <v>313</v>
      </c>
      <c r="BD35">
        <v>5</v>
      </c>
      <c r="BE35">
        <v>8</v>
      </c>
      <c r="BF35" t="s">
        <v>314</v>
      </c>
      <c r="BG35" t="s">
        <v>153</v>
      </c>
      <c r="BH35">
        <v>10470.5</v>
      </c>
      <c r="BI35">
        <v>46081</v>
      </c>
      <c r="BJ35">
        <v>17</v>
      </c>
      <c r="BK35">
        <v>2362.5</v>
      </c>
      <c r="BL35">
        <v>46096</v>
      </c>
      <c r="BM35">
        <v>32</v>
      </c>
      <c r="BN35">
        <v>12833</v>
      </c>
      <c r="BO35">
        <v>0</v>
      </c>
      <c r="BP35" t="str">
        <f t="shared" si="0"/>
        <v>HAEMBB</v>
      </c>
    </row>
    <row r="36" spans="1:68" x14ac:dyDescent="0.25">
      <c r="A36" t="s">
        <v>442</v>
      </c>
      <c r="B36" t="s">
        <v>443</v>
      </c>
      <c r="C36" t="s">
        <v>444</v>
      </c>
      <c r="D36">
        <v>13179.039999999999</v>
      </c>
      <c r="E36">
        <v>16072</v>
      </c>
      <c r="F36">
        <v>46066</v>
      </c>
      <c r="G36" t="s">
        <v>159</v>
      </c>
      <c r="H36" t="s">
        <v>304</v>
      </c>
      <c r="I36" t="s">
        <v>445</v>
      </c>
      <c r="J36" t="s">
        <v>306</v>
      </c>
      <c r="K36" t="s">
        <v>307</v>
      </c>
      <c r="L36">
        <v>46067</v>
      </c>
      <c r="M36">
        <v>46067</v>
      </c>
      <c r="N36">
        <v>46067</v>
      </c>
      <c r="O36" t="s">
        <v>308</v>
      </c>
      <c r="P36" t="s">
        <v>204</v>
      </c>
      <c r="Q36" t="s">
        <v>309</v>
      </c>
      <c r="R36" t="s">
        <v>310</v>
      </c>
      <c r="S36" t="s">
        <v>209</v>
      </c>
      <c r="T36" t="s">
        <v>429</v>
      </c>
      <c r="U36">
        <v>793</v>
      </c>
      <c r="V36">
        <v>8537</v>
      </c>
      <c r="W36">
        <v>2579</v>
      </c>
      <c r="X36">
        <v>4163</v>
      </c>
      <c r="Y36">
        <v>16072</v>
      </c>
      <c r="Z36">
        <v>1452</v>
      </c>
      <c r="AA36">
        <v>46076</v>
      </c>
      <c r="AB36">
        <v>17524</v>
      </c>
      <c r="AC36">
        <v>9964.64</v>
      </c>
      <c r="AD36">
        <v>300</v>
      </c>
      <c r="AE36">
        <v>300</v>
      </c>
      <c r="AF36">
        <v>300</v>
      </c>
      <c r="AG36">
        <v>0</v>
      </c>
      <c r="AH36" t="s">
        <v>312</v>
      </c>
      <c r="AI36" t="s">
        <v>312</v>
      </c>
      <c r="AJ36" t="s">
        <v>312</v>
      </c>
      <c r="AK36">
        <v>0</v>
      </c>
      <c r="AL36">
        <v>16996</v>
      </c>
      <c r="AM36">
        <v>14157.699999999999</v>
      </c>
      <c r="AN36">
        <v>2838.2999999999997</v>
      </c>
      <c r="AO36">
        <v>16996</v>
      </c>
      <c r="AP36">
        <v>540</v>
      </c>
      <c r="AQ36">
        <v>60</v>
      </c>
      <c r="AR36">
        <v>16996</v>
      </c>
      <c r="AS36">
        <v>60</v>
      </c>
      <c r="AT36">
        <v>3214.4</v>
      </c>
      <c r="AU36">
        <v>46068</v>
      </c>
      <c r="AV36">
        <v>46070</v>
      </c>
      <c r="AW36" t="s">
        <v>204</v>
      </c>
      <c r="AX36">
        <v>0</v>
      </c>
      <c r="AY36">
        <v>240</v>
      </c>
      <c r="AZ36" t="s">
        <v>313</v>
      </c>
      <c r="BD36">
        <v>1</v>
      </c>
      <c r="BE36">
        <v>3</v>
      </c>
      <c r="BF36" t="s">
        <v>314</v>
      </c>
      <c r="BG36" t="s">
        <v>153</v>
      </c>
      <c r="BH36">
        <v>14157.699999999999</v>
      </c>
      <c r="BI36">
        <v>46081</v>
      </c>
      <c r="BJ36">
        <v>14</v>
      </c>
      <c r="BK36">
        <v>2838.2999999999997</v>
      </c>
      <c r="BL36">
        <v>46087</v>
      </c>
      <c r="BM36">
        <v>20</v>
      </c>
      <c r="BN36">
        <v>16996</v>
      </c>
      <c r="BO36">
        <v>528</v>
      </c>
      <c r="BP36" t="str">
        <f t="shared" si="0"/>
        <v>HAEMBB</v>
      </c>
    </row>
    <row r="37" spans="1:68" x14ac:dyDescent="0.25">
      <c r="A37" t="s">
        <v>446</v>
      </c>
      <c r="B37" t="s">
        <v>447</v>
      </c>
      <c r="C37" t="s">
        <v>448</v>
      </c>
      <c r="D37">
        <v>14111.380000000001</v>
      </c>
      <c r="E37">
        <v>17209</v>
      </c>
      <c r="F37">
        <v>46066</v>
      </c>
      <c r="G37" t="s">
        <v>159</v>
      </c>
      <c r="H37" t="s">
        <v>304</v>
      </c>
      <c r="I37" t="s">
        <v>449</v>
      </c>
      <c r="J37" t="s">
        <v>306</v>
      </c>
      <c r="K37" t="s">
        <v>307</v>
      </c>
      <c r="L37">
        <v>46063</v>
      </c>
      <c r="M37">
        <v>46063</v>
      </c>
      <c r="N37">
        <v>46063</v>
      </c>
      <c r="O37" t="s">
        <v>326</v>
      </c>
      <c r="P37" t="s">
        <v>327</v>
      </c>
      <c r="Q37" t="s">
        <v>328</v>
      </c>
      <c r="R37" t="s">
        <v>310</v>
      </c>
      <c r="S37" t="s">
        <v>209</v>
      </c>
      <c r="T37" t="s">
        <v>429</v>
      </c>
      <c r="U37">
        <v>793</v>
      </c>
      <c r="V37">
        <v>9674</v>
      </c>
      <c r="W37">
        <v>2579</v>
      </c>
      <c r="X37">
        <v>4163</v>
      </c>
      <c r="Y37">
        <v>17209</v>
      </c>
      <c r="Z37">
        <v>1056</v>
      </c>
      <c r="AA37">
        <v>46076</v>
      </c>
      <c r="AB37">
        <v>18265</v>
      </c>
      <c r="AC37">
        <v>10669.58</v>
      </c>
      <c r="AD37">
        <v>7840</v>
      </c>
      <c r="AE37">
        <v>7540</v>
      </c>
      <c r="AF37">
        <v>300</v>
      </c>
      <c r="AG37">
        <v>0</v>
      </c>
      <c r="AH37" t="s">
        <v>312</v>
      </c>
      <c r="AI37" t="s">
        <v>312</v>
      </c>
      <c r="AJ37" t="s">
        <v>312</v>
      </c>
      <c r="AK37">
        <v>0</v>
      </c>
      <c r="AL37">
        <v>18926</v>
      </c>
      <c r="AM37">
        <v>15508.699999999999</v>
      </c>
      <c r="AN37">
        <v>3417.2999999999997</v>
      </c>
      <c r="AO37">
        <v>18926</v>
      </c>
      <c r="AP37">
        <v>7900</v>
      </c>
      <c r="AQ37">
        <v>7780</v>
      </c>
      <c r="AR37">
        <v>18925.999999999996</v>
      </c>
      <c r="AS37">
        <v>7780</v>
      </c>
      <c r="AT37">
        <v>0</v>
      </c>
      <c r="AU37">
        <v>46064</v>
      </c>
      <c r="AV37">
        <v>46068</v>
      </c>
      <c r="AW37" t="s">
        <v>204</v>
      </c>
      <c r="AX37">
        <v>0</v>
      </c>
      <c r="AY37">
        <v>60</v>
      </c>
      <c r="AZ37" t="s">
        <v>313</v>
      </c>
      <c r="BD37">
        <v>1</v>
      </c>
      <c r="BE37">
        <v>5</v>
      </c>
      <c r="BF37" t="s">
        <v>314</v>
      </c>
      <c r="BG37" t="s">
        <v>153</v>
      </c>
      <c r="BH37">
        <v>15508.699999999999</v>
      </c>
      <c r="BI37">
        <v>46081</v>
      </c>
      <c r="BJ37">
        <v>18</v>
      </c>
      <c r="BK37">
        <v>3417.2999999999997</v>
      </c>
      <c r="BL37">
        <v>46087</v>
      </c>
      <c r="BM37">
        <v>24</v>
      </c>
      <c r="BN37">
        <v>18926</v>
      </c>
      <c r="BO37">
        <v>0</v>
      </c>
      <c r="BP37" t="str">
        <f t="shared" si="0"/>
        <v>HAEMBB</v>
      </c>
    </row>
    <row r="38" spans="1:68" x14ac:dyDescent="0.25">
      <c r="A38" t="s">
        <v>450</v>
      </c>
      <c r="B38" t="s">
        <v>451</v>
      </c>
      <c r="C38" t="s">
        <v>452</v>
      </c>
      <c r="D38">
        <v>1687.29</v>
      </c>
      <c r="E38">
        <v>2081</v>
      </c>
      <c r="F38">
        <v>46066</v>
      </c>
      <c r="G38" t="s">
        <v>152</v>
      </c>
      <c r="H38" t="s">
        <v>373</v>
      </c>
      <c r="I38" t="s">
        <v>453</v>
      </c>
      <c r="J38" t="s">
        <v>306</v>
      </c>
      <c r="K38" t="s">
        <v>307</v>
      </c>
      <c r="L38">
        <v>46064</v>
      </c>
      <c r="M38">
        <v>46064</v>
      </c>
      <c r="N38">
        <v>46064</v>
      </c>
      <c r="O38" t="s">
        <v>375</v>
      </c>
      <c r="P38" t="s">
        <v>376</v>
      </c>
      <c r="Q38" t="s">
        <v>328</v>
      </c>
      <c r="R38" t="s">
        <v>310</v>
      </c>
      <c r="S38" t="s">
        <v>377</v>
      </c>
      <c r="T38" t="s">
        <v>429</v>
      </c>
      <c r="U38">
        <v>0</v>
      </c>
      <c r="V38">
        <v>1970</v>
      </c>
      <c r="W38">
        <v>0</v>
      </c>
      <c r="X38">
        <v>111</v>
      </c>
      <c r="Y38">
        <v>2081</v>
      </c>
      <c r="Z38">
        <v>0</v>
      </c>
      <c r="AA38" t="s">
        <v>204</v>
      </c>
      <c r="AB38">
        <v>2081</v>
      </c>
      <c r="AC38">
        <v>1500</v>
      </c>
      <c r="AD38">
        <v>1230</v>
      </c>
      <c r="AE38">
        <v>1230</v>
      </c>
      <c r="AF38">
        <v>0</v>
      </c>
      <c r="AG38">
        <v>0</v>
      </c>
      <c r="AH38" t="s">
        <v>312</v>
      </c>
      <c r="AI38" t="s">
        <v>312</v>
      </c>
      <c r="AJ38" t="s">
        <v>312</v>
      </c>
      <c r="AK38">
        <v>0</v>
      </c>
      <c r="AL38">
        <v>2081</v>
      </c>
      <c r="AM38">
        <v>1687</v>
      </c>
      <c r="AN38">
        <v>394</v>
      </c>
      <c r="AO38">
        <v>2081</v>
      </c>
      <c r="AP38">
        <v>1230</v>
      </c>
      <c r="AQ38">
        <v>1230</v>
      </c>
      <c r="AR38">
        <v>2081</v>
      </c>
      <c r="AS38">
        <v>1230</v>
      </c>
      <c r="AT38">
        <v>0</v>
      </c>
      <c r="AU38">
        <v>46064</v>
      </c>
      <c r="AV38">
        <v>46076</v>
      </c>
      <c r="AW38" t="s">
        <v>204</v>
      </c>
      <c r="AX38">
        <v>0</v>
      </c>
      <c r="AY38">
        <v>0</v>
      </c>
      <c r="AZ38" t="s">
        <v>313</v>
      </c>
      <c r="BD38">
        <v>0</v>
      </c>
      <c r="BE38">
        <v>12</v>
      </c>
      <c r="BF38" t="s">
        <v>314</v>
      </c>
      <c r="BG38" t="s">
        <v>155</v>
      </c>
      <c r="BH38">
        <v>1687</v>
      </c>
      <c r="BI38">
        <v>46081</v>
      </c>
      <c r="BJ38">
        <v>17</v>
      </c>
      <c r="BK38">
        <v>394</v>
      </c>
      <c r="BL38">
        <v>46115</v>
      </c>
      <c r="BM38">
        <v>51</v>
      </c>
      <c r="BN38">
        <v>2081</v>
      </c>
      <c r="BO38">
        <v>0</v>
      </c>
      <c r="BP38" t="str">
        <f t="shared" si="0"/>
        <v>TMEIPRAN</v>
      </c>
    </row>
    <row r="39" spans="1:68" x14ac:dyDescent="0.25">
      <c r="A39" t="s">
        <v>454</v>
      </c>
      <c r="B39" t="s">
        <v>455</v>
      </c>
      <c r="C39" t="s">
        <v>456</v>
      </c>
      <c r="D39">
        <v>1687.29</v>
      </c>
      <c r="E39">
        <v>2081</v>
      </c>
      <c r="F39">
        <v>46066</v>
      </c>
      <c r="G39" t="s">
        <v>152</v>
      </c>
      <c r="H39" t="s">
        <v>373</v>
      </c>
      <c r="I39" t="s">
        <v>457</v>
      </c>
      <c r="J39" t="s">
        <v>306</v>
      </c>
      <c r="K39" t="s">
        <v>307</v>
      </c>
      <c r="L39">
        <v>46063</v>
      </c>
      <c r="M39">
        <v>46063</v>
      </c>
      <c r="N39">
        <v>46063</v>
      </c>
      <c r="O39" t="s">
        <v>395</v>
      </c>
      <c r="P39" t="s">
        <v>396</v>
      </c>
      <c r="Q39" t="s">
        <v>328</v>
      </c>
      <c r="R39" t="s">
        <v>310</v>
      </c>
      <c r="S39" t="s">
        <v>377</v>
      </c>
      <c r="T39" t="s">
        <v>429</v>
      </c>
      <c r="U39">
        <v>0</v>
      </c>
      <c r="V39">
        <v>1970</v>
      </c>
      <c r="W39">
        <v>0</v>
      </c>
      <c r="X39">
        <v>111</v>
      </c>
      <c r="Y39">
        <v>2081</v>
      </c>
      <c r="Z39">
        <v>0</v>
      </c>
      <c r="AA39" t="s">
        <v>204</v>
      </c>
      <c r="AB39">
        <v>2081</v>
      </c>
      <c r="AC39">
        <v>1500</v>
      </c>
      <c r="AD39">
        <v>1230</v>
      </c>
      <c r="AE39">
        <v>1230</v>
      </c>
      <c r="AF39">
        <v>0</v>
      </c>
      <c r="AG39">
        <v>0</v>
      </c>
      <c r="AH39" t="s">
        <v>312</v>
      </c>
      <c r="AI39" t="s">
        <v>312</v>
      </c>
      <c r="AJ39" t="s">
        <v>312</v>
      </c>
      <c r="AK39">
        <v>0</v>
      </c>
      <c r="AL39">
        <v>2081</v>
      </c>
      <c r="AM39">
        <v>1687</v>
      </c>
      <c r="AN39">
        <v>0</v>
      </c>
      <c r="AO39">
        <v>1687</v>
      </c>
      <c r="AP39">
        <v>1230</v>
      </c>
      <c r="AQ39">
        <v>1230</v>
      </c>
      <c r="AR39">
        <v>1687</v>
      </c>
      <c r="AS39">
        <v>1230</v>
      </c>
      <c r="AT39">
        <v>0</v>
      </c>
      <c r="AU39">
        <v>46063</v>
      </c>
      <c r="AV39">
        <v>46076</v>
      </c>
      <c r="AW39" t="s">
        <v>204</v>
      </c>
      <c r="AX39">
        <v>394</v>
      </c>
      <c r="AY39">
        <v>0</v>
      </c>
      <c r="AZ39" t="s">
        <v>313</v>
      </c>
      <c r="BD39">
        <v>0</v>
      </c>
      <c r="BE39">
        <v>13</v>
      </c>
      <c r="BF39" t="s">
        <v>314</v>
      </c>
      <c r="BG39" t="s">
        <v>155</v>
      </c>
      <c r="BH39">
        <v>1687</v>
      </c>
      <c r="BI39">
        <v>46081</v>
      </c>
      <c r="BJ39">
        <v>18</v>
      </c>
      <c r="BK39">
        <v>394</v>
      </c>
      <c r="BL39">
        <v>46230</v>
      </c>
      <c r="BM39">
        <v>167</v>
      </c>
      <c r="BN39">
        <v>2081</v>
      </c>
      <c r="BO39">
        <v>0</v>
      </c>
      <c r="BP39" t="str">
        <f t="shared" si="0"/>
        <v>TMEIPRAN</v>
      </c>
    </row>
    <row r="40" spans="1:68" x14ac:dyDescent="0.25">
      <c r="A40" t="s">
        <v>458</v>
      </c>
      <c r="B40" t="s">
        <v>459</v>
      </c>
      <c r="C40" t="s">
        <v>460</v>
      </c>
      <c r="D40">
        <v>1687.29</v>
      </c>
      <c r="E40">
        <v>2081</v>
      </c>
      <c r="F40">
        <v>46066</v>
      </c>
      <c r="G40" t="s">
        <v>152</v>
      </c>
      <c r="H40" t="s">
        <v>373</v>
      </c>
      <c r="I40" t="s">
        <v>461</v>
      </c>
      <c r="J40" t="s">
        <v>306</v>
      </c>
      <c r="K40" t="s">
        <v>307</v>
      </c>
      <c r="L40">
        <v>46065</v>
      </c>
      <c r="M40">
        <v>46065</v>
      </c>
      <c r="N40">
        <v>46065</v>
      </c>
      <c r="O40" t="s">
        <v>395</v>
      </c>
      <c r="P40" t="s">
        <v>396</v>
      </c>
      <c r="Q40" t="s">
        <v>328</v>
      </c>
      <c r="R40" t="s">
        <v>310</v>
      </c>
      <c r="S40" t="s">
        <v>377</v>
      </c>
      <c r="T40" t="s">
        <v>429</v>
      </c>
      <c r="U40">
        <v>0</v>
      </c>
      <c r="V40">
        <v>1970</v>
      </c>
      <c r="W40">
        <v>0</v>
      </c>
      <c r="X40">
        <v>111</v>
      </c>
      <c r="Y40">
        <v>2081</v>
      </c>
      <c r="Z40">
        <v>0</v>
      </c>
      <c r="AA40" t="s">
        <v>204</v>
      </c>
      <c r="AB40">
        <v>2081</v>
      </c>
      <c r="AC40">
        <v>1500</v>
      </c>
      <c r="AD40">
        <v>1230</v>
      </c>
      <c r="AE40">
        <v>1230</v>
      </c>
      <c r="AF40">
        <v>0</v>
      </c>
      <c r="AG40">
        <v>0</v>
      </c>
      <c r="AH40" t="s">
        <v>312</v>
      </c>
      <c r="AI40" t="s">
        <v>312</v>
      </c>
      <c r="AJ40" t="s">
        <v>312</v>
      </c>
      <c r="AK40">
        <v>0</v>
      </c>
      <c r="AL40">
        <v>2081</v>
      </c>
      <c r="AM40">
        <v>1687</v>
      </c>
      <c r="AN40">
        <v>394</v>
      </c>
      <c r="AO40">
        <v>2081</v>
      </c>
      <c r="AP40">
        <v>1230</v>
      </c>
      <c r="AQ40">
        <v>1230</v>
      </c>
      <c r="AR40">
        <v>2081</v>
      </c>
      <c r="AS40">
        <v>1230</v>
      </c>
      <c r="AT40">
        <v>0</v>
      </c>
      <c r="AU40">
        <v>46065</v>
      </c>
      <c r="AV40">
        <v>46076</v>
      </c>
      <c r="AW40" t="s">
        <v>204</v>
      </c>
      <c r="AX40">
        <v>0</v>
      </c>
      <c r="AY40">
        <v>0</v>
      </c>
      <c r="AZ40" t="s">
        <v>313</v>
      </c>
      <c r="BD40">
        <v>0</v>
      </c>
      <c r="BE40">
        <v>11</v>
      </c>
      <c r="BF40" t="s">
        <v>314</v>
      </c>
      <c r="BG40" t="s">
        <v>155</v>
      </c>
      <c r="BH40">
        <v>1687</v>
      </c>
      <c r="BI40">
        <v>46081</v>
      </c>
      <c r="BJ40">
        <v>16</v>
      </c>
      <c r="BK40">
        <v>394</v>
      </c>
      <c r="BL40">
        <v>46115</v>
      </c>
      <c r="BM40">
        <v>50</v>
      </c>
      <c r="BN40">
        <v>2081</v>
      </c>
      <c r="BO40">
        <v>0</v>
      </c>
      <c r="BP40" t="str">
        <f t="shared" si="0"/>
        <v>TMEIPRAN</v>
      </c>
    </row>
    <row r="41" spans="1:68" x14ac:dyDescent="0.25">
      <c r="A41" t="s">
        <v>462</v>
      </c>
      <c r="B41" t="s">
        <v>463</v>
      </c>
      <c r="C41" t="s">
        <v>464</v>
      </c>
      <c r="D41">
        <v>1687.29</v>
      </c>
      <c r="E41">
        <v>2081</v>
      </c>
      <c r="F41">
        <v>46066</v>
      </c>
      <c r="G41" t="s">
        <v>152</v>
      </c>
      <c r="H41" t="s">
        <v>373</v>
      </c>
      <c r="I41" t="s">
        <v>465</v>
      </c>
      <c r="J41" t="s">
        <v>306</v>
      </c>
      <c r="K41" t="s">
        <v>307</v>
      </c>
      <c r="L41">
        <v>46063</v>
      </c>
      <c r="M41">
        <v>46063</v>
      </c>
      <c r="N41">
        <v>46063</v>
      </c>
      <c r="O41" t="s">
        <v>395</v>
      </c>
      <c r="P41" t="s">
        <v>396</v>
      </c>
      <c r="Q41" t="s">
        <v>328</v>
      </c>
      <c r="R41" t="s">
        <v>310</v>
      </c>
      <c r="S41" t="s">
        <v>377</v>
      </c>
      <c r="T41" t="s">
        <v>429</v>
      </c>
      <c r="U41">
        <v>0</v>
      </c>
      <c r="V41">
        <v>1970</v>
      </c>
      <c r="W41">
        <v>0</v>
      </c>
      <c r="X41">
        <v>111</v>
      </c>
      <c r="Y41">
        <v>2081</v>
      </c>
      <c r="Z41">
        <v>0</v>
      </c>
      <c r="AA41" t="s">
        <v>204</v>
      </c>
      <c r="AB41">
        <v>2081</v>
      </c>
      <c r="AC41">
        <v>1500</v>
      </c>
      <c r="AD41">
        <v>1230</v>
      </c>
      <c r="AE41">
        <v>1230</v>
      </c>
      <c r="AF41">
        <v>0</v>
      </c>
      <c r="AG41">
        <v>0</v>
      </c>
      <c r="AH41" t="s">
        <v>312</v>
      </c>
      <c r="AI41" t="s">
        <v>312</v>
      </c>
      <c r="AJ41" t="s">
        <v>312</v>
      </c>
      <c r="AK41">
        <v>0</v>
      </c>
      <c r="AL41">
        <v>2081</v>
      </c>
      <c r="AM41">
        <v>1687</v>
      </c>
      <c r="AN41">
        <v>0</v>
      </c>
      <c r="AO41">
        <v>1687</v>
      </c>
      <c r="AP41">
        <v>1230</v>
      </c>
      <c r="AQ41">
        <v>1230</v>
      </c>
      <c r="AR41">
        <v>1687</v>
      </c>
      <c r="AS41">
        <v>1230</v>
      </c>
      <c r="AT41">
        <v>0</v>
      </c>
      <c r="AU41">
        <v>46063</v>
      </c>
      <c r="AV41">
        <v>46076</v>
      </c>
      <c r="AW41" t="s">
        <v>204</v>
      </c>
      <c r="AX41">
        <v>394</v>
      </c>
      <c r="AY41">
        <v>0</v>
      </c>
      <c r="AZ41" t="s">
        <v>313</v>
      </c>
      <c r="BD41">
        <v>0</v>
      </c>
      <c r="BE41">
        <v>13</v>
      </c>
      <c r="BF41" t="s">
        <v>314</v>
      </c>
      <c r="BG41" t="s">
        <v>155</v>
      </c>
      <c r="BH41">
        <v>1687</v>
      </c>
      <c r="BI41">
        <v>46081</v>
      </c>
      <c r="BJ41">
        <v>18</v>
      </c>
      <c r="BK41">
        <v>394</v>
      </c>
      <c r="BL41">
        <v>46230</v>
      </c>
      <c r="BM41">
        <v>167</v>
      </c>
      <c r="BN41">
        <v>2081</v>
      </c>
      <c r="BO41">
        <v>0</v>
      </c>
      <c r="BP41" t="str">
        <f t="shared" si="0"/>
        <v>TMEIPRAN</v>
      </c>
    </row>
    <row r="42" spans="1:68" x14ac:dyDescent="0.25">
      <c r="A42" t="s">
        <v>466</v>
      </c>
      <c r="B42" t="s">
        <v>467</v>
      </c>
      <c r="C42" t="s">
        <v>468</v>
      </c>
      <c r="D42">
        <v>1687.29</v>
      </c>
      <c r="E42">
        <v>2081</v>
      </c>
      <c r="F42">
        <v>46066</v>
      </c>
      <c r="G42" t="s">
        <v>152</v>
      </c>
      <c r="H42" t="s">
        <v>373</v>
      </c>
      <c r="I42" t="s">
        <v>469</v>
      </c>
      <c r="J42" t="s">
        <v>306</v>
      </c>
      <c r="K42" t="s">
        <v>307</v>
      </c>
      <c r="L42">
        <v>46064</v>
      </c>
      <c r="M42">
        <v>46064</v>
      </c>
      <c r="N42">
        <v>46064</v>
      </c>
      <c r="O42" t="s">
        <v>395</v>
      </c>
      <c r="P42" t="s">
        <v>396</v>
      </c>
      <c r="Q42" t="s">
        <v>328</v>
      </c>
      <c r="R42" t="s">
        <v>310</v>
      </c>
      <c r="S42" t="s">
        <v>377</v>
      </c>
      <c r="T42" t="s">
        <v>429</v>
      </c>
      <c r="U42">
        <v>0</v>
      </c>
      <c r="V42">
        <v>1970</v>
      </c>
      <c r="W42">
        <v>0</v>
      </c>
      <c r="X42">
        <v>111</v>
      </c>
      <c r="Y42">
        <v>2081</v>
      </c>
      <c r="Z42">
        <v>0</v>
      </c>
      <c r="AA42" t="s">
        <v>204</v>
      </c>
      <c r="AB42">
        <v>2081</v>
      </c>
      <c r="AC42">
        <v>1500</v>
      </c>
      <c r="AD42">
        <v>1230</v>
      </c>
      <c r="AE42">
        <v>1230</v>
      </c>
      <c r="AF42">
        <v>0</v>
      </c>
      <c r="AG42">
        <v>0</v>
      </c>
      <c r="AH42" t="s">
        <v>312</v>
      </c>
      <c r="AI42" t="s">
        <v>312</v>
      </c>
      <c r="AJ42" t="s">
        <v>312</v>
      </c>
      <c r="AK42">
        <v>0</v>
      </c>
      <c r="AL42">
        <v>2081</v>
      </c>
      <c r="AM42">
        <v>1687</v>
      </c>
      <c r="AN42">
        <v>0</v>
      </c>
      <c r="AO42">
        <v>1687</v>
      </c>
      <c r="AP42">
        <v>1230</v>
      </c>
      <c r="AQ42">
        <v>1230</v>
      </c>
      <c r="AR42">
        <v>1687</v>
      </c>
      <c r="AS42">
        <v>1230</v>
      </c>
      <c r="AT42">
        <v>0</v>
      </c>
      <c r="AU42">
        <v>46064</v>
      </c>
      <c r="AV42">
        <v>46076</v>
      </c>
      <c r="AW42" t="s">
        <v>204</v>
      </c>
      <c r="AX42">
        <v>394</v>
      </c>
      <c r="AY42">
        <v>0</v>
      </c>
      <c r="AZ42" t="s">
        <v>313</v>
      </c>
      <c r="BD42">
        <v>0</v>
      </c>
      <c r="BE42">
        <v>12</v>
      </c>
      <c r="BF42" t="s">
        <v>314</v>
      </c>
      <c r="BG42" t="s">
        <v>155</v>
      </c>
      <c r="BH42">
        <v>1687</v>
      </c>
      <c r="BI42">
        <v>46081</v>
      </c>
      <c r="BJ42">
        <v>17</v>
      </c>
      <c r="BK42">
        <v>394</v>
      </c>
      <c r="BL42">
        <v>46230</v>
      </c>
      <c r="BM42">
        <v>166</v>
      </c>
      <c r="BN42">
        <v>2081</v>
      </c>
      <c r="BO42">
        <v>0</v>
      </c>
      <c r="BP42" t="str">
        <f t="shared" si="0"/>
        <v>TMEIPRAN</v>
      </c>
    </row>
    <row r="43" spans="1:68" x14ac:dyDescent="0.25">
      <c r="A43" t="s">
        <v>470</v>
      </c>
      <c r="B43" t="s">
        <v>471</v>
      </c>
      <c r="C43" t="s">
        <v>472</v>
      </c>
      <c r="D43">
        <v>1687.29</v>
      </c>
      <c r="E43">
        <v>2081</v>
      </c>
      <c r="F43">
        <v>46066</v>
      </c>
      <c r="G43" t="s">
        <v>152</v>
      </c>
      <c r="H43" t="s">
        <v>373</v>
      </c>
      <c r="I43" t="s">
        <v>473</v>
      </c>
      <c r="J43" t="s">
        <v>306</v>
      </c>
      <c r="K43" t="s">
        <v>307</v>
      </c>
      <c r="L43">
        <v>46064</v>
      </c>
      <c r="M43">
        <v>46064</v>
      </c>
      <c r="N43">
        <v>46064</v>
      </c>
      <c r="O43" t="s">
        <v>375</v>
      </c>
      <c r="P43" t="s">
        <v>376</v>
      </c>
      <c r="Q43" t="s">
        <v>328</v>
      </c>
      <c r="R43" t="s">
        <v>310</v>
      </c>
      <c r="S43" t="s">
        <v>377</v>
      </c>
      <c r="T43" t="s">
        <v>429</v>
      </c>
      <c r="U43">
        <v>0</v>
      </c>
      <c r="V43">
        <v>1970</v>
      </c>
      <c r="W43">
        <v>0</v>
      </c>
      <c r="X43">
        <v>111</v>
      </c>
      <c r="Y43">
        <v>2081</v>
      </c>
      <c r="Z43">
        <v>0</v>
      </c>
      <c r="AA43" t="s">
        <v>204</v>
      </c>
      <c r="AB43">
        <v>2081</v>
      </c>
      <c r="AC43">
        <v>1500</v>
      </c>
      <c r="AD43">
        <v>1230</v>
      </c>
      <c r="AE43">
        <v>1230</v>
      </c>
      <c r="AF43">
        <v>0</v>
      </c>
      <c r="AG43">
        <v>0</v>
      </c>
      <c r="AH43" t="s">
        <v>312</v>
      </c>
      <c r="AI43" t="s">
        <v>312</v>
      </c>
      <c r="AJ43" t="s">
        <v>312</v>
      </c>
      <c r="AK43">
        <v>0</v>
      </c>
      <c r="AL43">
        <v>2081</v>
      </c>
      <c r="AM43">
        <v>1687</v>
      </c>
      <c r="AN43">
        <v>394</v>
      </c>
      <c r="AO43">
        <v>2081</v>
      </c>
      <c r="AP43">
        <v>1230</v>
      </c>
      <c r="AQ43">
        <v>1230</v>
      </c>
      <c r="AR43">
        <v>2081</v>
      </c>
      <c r="AS43">
        <v>1230</v>
      </c>
      <c r="AT43">
        <v>0</v>
      </c>
      <c r="AU43">
        <v>46064</v>
      </c>
      <c r="AV43">
        <v>46076</v>
      </c>
      <c r="AW43" t="s">
        <v>204</v>
      </c>
      <c r="AX43">
        <v>0</v>
      </c>
      <c r="AY43">
        <v>0</v>
      </c>
      <c r="AZ43" t="s">
        <v>313</v>
      </c>
      <c r="BD43">
        <v>0</v>
      </c>
      <c r="BE43">
        <v>12</v>
      </c>
      <c r="BF43" t="s">
        <v>314</v>
      </c>
      <c r="BG43" t="s">
        <v>155</v>
      </c>
      <c r="BH43">
        <v>1687</v>
      </c>
      <c r="BI43">
        <v>46081</v>
      </c>
      <c r="BJ43">
        <v>17</v>
      </c>
      <c r="BK43">
        <v>394</v>
      </c>
      <c r="BL43">
        <v>46115</v>
      </c>
      <c r="BM43">
        <v>51</v>
      </c>
      <c r="BN43">
        <v>2081</v>
      </c>
      <c r="BO43">
        <v>0</v>
      </c>
      <c r="BP43" t="str">
        <f t="shared" si="0"/>
        <v>TMEIPRAN</v>
      </c>
    </row>
    <row r="44" spans="1:68" x14ac:dyDescent="0.25">
      <c r="A44" t="s">
        <v>474</v>
      </c>
      <c r="B44" t="s">
        <v>475</v>
      </c>
      <c r="C44" t="s">
        <v>476</v>
      </c>
      <c r="D44">
        <v>1687.29</v>
      </c>
      <c r="E44">
        <v>2081</v>
      </c>
      <c r="F44">
        <v>46066</v>
      </c>
      <c r="G44" t="s">
        <v>152</v>
      </c>
      <c r="H44" t="s">
        <v>373</v>
      </c>
      <c r="I44" t="s">
        <v>477</v>
      </c>
      <c r="J44" t="s">
        <v>306</v>
      </c>
      <c r="K44" t="s">
        <v>307</v>
      </c>
      <c r="L44">
        <v>46065</v>
      </c>
      <c r="M44">
        <v>46065</v>
      </c>
      <c r="N44">
        <v>46065</v>
      </c>
      <c r="O44" t="s">
        <v>375</v>
      </c>
      <c r="P44" t="s">
        <v>376</v>
      </c>
      <c r="Q44" t="s">
        <v>328</v>
      </c>
      <c r="R44" t="s">
        <v>310</v>
      </c>
      <c r="S44" t="s">
        <v>377</v>
      </c>
      <c r="T44" t="s">
        <v>429</v>
      </c>
      <c r="U44">
        <v>0</v>
      </c>
      <c r="V44">
        <v>1970</v>
      </c>
      <c r="W44">
        <v>0</v>
      </c>
      <c r="X44">
        <v>111</v>
      </c>
      <c r="Y44">
        <v>2081</v>
      </c>
      <c r="Z44">
        <v>0</v>
      </c>
      <c r="AA44" t="s">
        <v>204</v>
      </c>
      <c r="AB44">
        <v>2081</v>
      </c>
      <c r="AC44">
        <v>1500</v>
      </c>
      <c r="AD44">
        <v>1230</v>
      </c>
      <c r="AE44">
        <v>1230</v>
      </c>
      <c r="AF44">
        <v>0</v>
      </c>
      <c r="AG44">
        <v>0</v>
      </c>
      <c r="AH44" t="s">
        <v>312</v>
      </c>
      <c r="AI44" t="s">
        <v>312</v>
      </c>
      <c r="AJ44" t="s">
        <v>312</v>
      </c>
      <c r="AK44">
        <v>0</v>
      </c>
      <c r="AL44">
        <v>2081</v>
      </c>
      <c r="AM44">
        <v>1687</v>
      </c>
      <c r="AN44">
        <v>394</v>
      </c>
      <c r="AO44">
        <v>2081</v>
      </c>
      <c r="AP44">
        <v>1230</v>
      </c>
      <c r="AQ44">
        <v>1230</v>
      </c>
      <c r="AR44">
        <v>2081</v>
      </c>
      <c r="AS44">
        <v>1230</v>
      </c>
      <c r="AT44">
        <v>0</v>
      </c>
      <c r="AU44">
        <v>46065</v>
      </c>
      <c r="AV44">
        <v>46076</v>
      </c>
      <c r="AW44" t="s">
        <v>204</v>
      </c>
      <c r="AX44">
        <v>0</v>
      </c>
      <c r="AY44">
        <v>0</v>
      </c>
      <c r="AZ44" t="s">
        <v>313</v>
      </c>
      <c r="BD44">
        <v>0</v>
      </c>
      <c r="BE44">
        <v>11</v>
      </c>
      <c r="BF44" t="s">
        <v>314</v>
      </c>
      <c r="BG44" t="s">
        <v>155</v>
      </c>
      <c r="BH44">
        <v>1687</v>
      </c>
      <c r="BI44">
        <v>46081</v>
      </c>
      <c r="BJ44">
        <v>16</v>
      </c>
      <c r="BK44">
        <v>394</v>
      </c>
      <c r="BL44">
        <v>46115</v>
      </c>
      <c r="BM44">
        <v>50</v>
      </c>
      <c r="BN44">
        <v>2081</v>
      </c>
      <c r="BO44">
        <v>0</v>
      </c>
      <c r="BP44" t="str">
        <f t="shared" si="0"/>
        <v>TMEIPRAN</v>
      </c>
    </row>
    <row r="45" spans="1:68" x14ac:dyDescent="0.25">
      <c r="A45" t="s">
        <v>478</v>
      </c>
      <c r="B45" t="s">
        <v>479</v>
      </c>
      <c r="C45" t="s">
        <v>480</v>
      </c>
      <c r="D45">
        <v>40268.559999999998</v>
      </c>
      <c r="E45">
        <v>49108</v>
      </c>
      <c r="F45">
        <v>46066</v>
      </c>
      <c r="G45" t="s">
        <v>159</v>
      </c>
      <c r="H45" t="s">
        <v>368</v>
      </c>
      <c r="I45" t="s">
        <v>481</v>
      </c>
      <c r="J45" t="s">
        <v>306</v>
      </c>
      <c r="K45" t="s">
        <v>307</v>
      </c>
      <c r="L45">
        <v>46065</v>
      </c>
      <c r="M45">
        <v>46069</v>
      </c>
      <c r="N45">
        <v>46069</v>
      </c>
      <c r="O45" t="s">
        <v>326</v>
      </c>
      <c r="P45" t="s">
        <v>327</v>
      </c>
      <c r="Q45" t="s">
        <v>328</v>
      </c>
      <c r="R45" t="s">
        <v>310</v>
      </c>
      <c r="S45" t="s">
        <v>209</v>
      </c>
      <c r="T45" t="s">
        <v>482</v>
      </c>
      <c r="U45">
        <v>793</v>
      </c>
      <c r="V45">
        <v>38992</v>
      </c>
      <c r="W45">
        <v>7737</v>
      </c>
      <c r="X45">
        <v>1586</v>
      </c>
      <c r="Y45">
        <v>49108</v>
      </c>
      <c r="Z45">
        <v>0</v>
      </c>
      <c r="AA45" t="s">
        <v>204</v>
      </c>
      <c r="AB45">
        <v>49108</v>
      </c>
      <c r="AC45">
        <v>30446.959999999999</v>
      </c>
      <c r="AD45">
        <v>21695</v>
      </c>
      <c r="AE45">
        <v>21395</v>
      </c>
      <c r="AF45">
        <v>300</v>
      </c>
      <c r="AG45">
        <v>0</v>
      </c>
      <c r="AH45" t="s">
        <v>312</v>
      </c>
      <c r="AI45" t="s">
        <v>312</v>
      </c>
      <c r="AJ45" t="s">
        <v>312</v>
      </c>
      <c r="AK45">
        <v>0</v>
      </c>
      <c r="AL45">
        <v>49108</v>
      </c>
      <c r="AM45">
        <v>37410.400000000001</v>
      </c>
      <c r="AN45">
        <v>11697.6</v>
      </c>
      <c r="AO45">
        <v>49108</v>
      </c>
      <c r="AP45">
        <v>21695</v>
      </c>
      <c r="AQ45">
        <v>21695</v>
      </c>
      <c r="AR45">
        <v>49107.999999999993</v>
      </c>
      <c r="AS45">
        <v>21695</v>
      </c>
      <c r="AT45">
        <v>0</v>
      </c>
      <c r="AU45">
        <v>46071</v>
      </c>
      <c r="AV45">
        <v>46073</v>
      </c>
      <c r="AW45" t="s">
        <v>204</v>
      </c>
      <c r="AX45">
        <v>0</v>
      </c>
      <c r="AY45">
        <v>0</v>
      </c>
      <c r="AZ45" t="s">
        <v>313</v>
      </c>
      <c r="BD45">
        <v>2</v>
      </c>
      <c r="BE45">
        <v>4</v>
      </c>
      <c r="BF45" t="s">
        <v>314</v>
      </c>
      <c r="BG45" t="s">
        <v>153</v>
      </c>
      <c r="BH45">
        <v>37410.400000000001</v>
      </c>
      <c r="BI45">
        <v>46073</v>
      </c>
      <c r="BJ45">
        <v>4</v>
      </c>
      <c r="BK45">
        <v>11697.6</v>
      </c>
      <c r="BL45">
        <v>46101</v>
      </c>
      <c r="BM45">
        <v>32</v>
      </c>
      <c r="BN45">
        <v>49108</v>
      </c>
      <c r="BO45">
        <v>0</v>
      </c>
      <c r="BP45" t="str">
        <f t="shared" si="0"/>
        <v>HAEMBB</v>
      </c>
    </row>
    <row r="46" spans="1:68" x14ac:dyDescent="0.25">
      <c r="A46" t="s">
        <v>483</v>
      </c>
      <c r="B46" t="s">
        <v>484</v>
      </c>
      <c r="C46" t="s">
        <v>485</v>
      </c>
      <c r="D46">
        <v>14935.48</v>
      </c>
      <c r="E46">
        <v>18214</v>
      </c>
      <c r="F46">
        <v>46066</v>
      </c>
      <c r="G46" t="s">
        <v>159</v>
      </c>
      <c r="H46" t="s">
        <v>304</v>
      </c>
      <c r="I46" t="s">
        <v>486</v>
      </c>
      <c r="J46" t="s">
        <v>306</v>
      </c>
      <c r="K46" t="s">
        <v>307</v>
      </c>
      <c r="L46">
        <v>46071</v>
      </c>
      <c r="M46">
        <v>46072</v>
      </c>
      <c r="N46">
        <v>46072</v>
      </c>
      <c r="O46" t="s">
        <v>487</v>
      </c>
      <c r="P46" t="s">
        <v>204</v>
      </c>
      <c r="Q46" t="s">
        <v>309</v>
      </c>
      <c r="R46" t="s">
        <v>310</v>
      </c>
      <c r="S46" t="s">
        <v>209</v>
      </c>
      <c r="T46" t="s">
        <v>482</v>
      </c>
      <c r="U46">
        <v>793</v>
      </c>
      <c r="V46">
        <v>10679</v>
      </c>
      <c r="W46">
        <v>2579</v>
      </c>
      <c r="X46">
        <v>4163</v>
      </c>
      <c r="Y46">
        <v>18214</v>
      </c>
      <c r="Z46">
        <v>0</v>
      </c>
      <c r="AA46" t="s">
        <v>204</v>
      </c>
      <c r="AB46">
        <v>18214</v>
      </c>
      <c r="AC46">
        <v>11292.68</v>
      </c>
      <c r="AD46">
        <v>300</v>
      </c>
      <c r="AE46">
        <v>600</v>
      </c>
      <c r="AF46">
        <v>300</v>
      </c>
      <c r="AG46">
        <v>0</v>
      </c>
      <c r="AH46" t="s">
        <v>312</v>
      </c>
      <c r="AI46" t="s">
        <v>312</v>
      </c>
      <c r="AJ46" t="s">
        <v>312</v>
      </c>
      <c r="AK46">
        <v>0</v>
      </c>
      <c r="AL46">
        <v>18214</v>
      </c>
      <c r="AM46">
        <v>15010.299999999997</v>
      </c>
      <c r="AN46">
        <v>3203.6999999999994</v>
      </c>
      <c r="AO46">
        <v>18213.999999999996</v>
      </c>
      <c r="AP46">
        <v>300</v>
      </c>
      <c r="AQ46">
        <v>300</v>
      </c>
      <c r="AR46">
        <v>18214</v>
      </c>
      <c r="AS46">
        <v>240</v>
      </c>
      <c r="AT46">
        <v>3642.8</v>
      </c>
      <c r="AU46">
        <v>46072</v>
      </c>
      <c r="AV46">
        <v>46083</v>
      </c>
      <c r="AW46" t="s">
        <v>204</v>
      </c>
      <c r="AX46">
        <v>0</v>
      </c>
      <c r="AY46">
        <v>60</v>
      </c>
      <c r="AZ46" t="s">
        <v>313</v>
      </c>
      <c r="BD46">
        <v>0</v>
      </c>
      <c r="BE46">
        <v>11</v>
      </c>
      <c r="BF46" t="s">
        <v>314</v>
      </c>
      <c r="BG46" t="s">
        <v>153</v>
      </c>
      <c r="BH46">
        <v>15010.299999999997</v>
      </c>
      <c r="BI46">
        <v>46081</v>
      </c>
      <c r="BJ46">
        <v>9</v>
      </c>
      <c r="BK46">
        <v>3203.6999999999994</v>
      </c>
      <c r="BL46">
        <v>46087</v>
      </c>
      <c r="BM46">
        <v>15</v>
      </c>
      <c r="BN46">
        <v>18213.999999999996</v>
      </c>
      <c r="BO46">
        <v>0</v>
      </c>
      <c r="BP46" t="str">
        <f t="shared" si="0"/>
        <v>HAEMBB</v>
      </c>
    </row>
    <row r="47" spans="1:68" x14ac:dyDescent="0.25">
      <c r="A47" t="s">
        <v>488</v>
      </c>
      <c r="B47" t="s">
        <v>489</v>
      </c>
      <c r="C47" t="s">
        <v>490</v>
      </c>
      <c r="D47">
        <v>9765.380000000001</v>
      </c>
      <c r="E47">
        <v>11909</v>
      </c>
      <c r="F47">
        <v>46066</v>
      </c>
      <c r="G47" t="s">
        <v>159</v>
      </c>
      <c r="H47" t="s">
        <v>304</v>
      </c>
      <c r="I47" t="s">
        <v>491</v>
      </c>
      <c r="J47" t="s">
        <v>306</v>
      </c>
      <c r="K47" t="s">
        <v>307</v>
      </c>
      <c r="L47">
        <v>46072</v>
      </c>
      <c r="M47">
        <v>46072</v>
      </c>
      <c r="N47">
        <v>46072</v>
      </c>
      <c r="O47" t="s">
        <v>318</v>
      </c>
      <c r="P47" t="s">
        <v>204</v>
      </c>
      <c r="Q47" t="s">
        <v>309</v>
      </c>
      <c r="R47" t="s">
        <v>310</v>
      </c>
      <c r="S47" t="s">
        <v>209</v>
      </c>
      <c r="T47" t="s">
        <v>482</v>
      </c>
      <c r="U47">
        <v>793</v>
      </c>
      <c r="V47">
        <v>6951</v>
      </c>
      <c r="W47">
        <v>2579</v>
      </c>
      <c r="X47">
        <v>1586</v>
      </c>
      <c r="Y47">
        <v>11909</v>
      </c>
      <c r="Z47">
        <v>264</v>
      </c>
      <c r="AA47">
        <v>46076</v>
      </c>
      <c r="AB47">
        <v>12173</v>
      </c>
      <c r="AC47">
        <v>7383.58</v>
      </c>
      <c r="AD47">
        <v>300</v>
      </c>
      <c r="AE47">
        <v>300</v>
      </c>
      <c r="AF47">
        <v>300</v>
      </c>
      <c r="AG47">
        <v>0</v>
      </c>
      <c r="AH47" t="s">
        <v>312</v>
      </c>
      <c r="AI47" t="s">
        <v>312</v>
      </c>
      <c r="AJ47" t="s">
        <v>312</v>
      </c>
      <c r="AK47">
        <v>0</v>
      </c>
      <c r="AL47">
        <v>12173</v>
      </c>
      <c r="AM47">
        <v>10008.5</v>
      </c>
      <c r="AN47">
        <v>2164.4999999999995</v>
      </c>
      <c r="AO47">
        <v>12173</v>
      </c>
      <c r="AP47">
        <v>300</v>
      </c>
      <c r="AQ47">
        <v>300</v>
      </c>
      <c r="AR47">
        <v>12173.000000000002</v>
      </c>
      <c r="AS47">
        <v>240</v>
      </c>
      <c r="AT47">
        <v>2381.8000000000002</v>
      </c>
      <c r="AU47">
        <v>46078</v>
      </c>
      <c r="AV47">
        <v>46083</v>
      </c>
      <c r="AW47" t="s">
        <v>204</v>
      </c>
      <c r="AX47">
        <v>0</v>
      </c>
      <c r="AY47">
        <v>60</v>
      </c>
      <c r="AZ47" t="s">
        <v>313</v>
      </c>
      <c r="BD47">
        <v>6</v>
      </c>
      <c r="BE47">
        <v>11</v>
      </c>
      <c r="BF47" t="s">
        <v>314</v>
      </c>
      <c r="BG47" t="s">
        <v>153</v>
      </c>
      <c r="BH47">
        <v>10008.5</v>
      </c>
      <c r="BI47">
        <v>46087</v>
      </c>
      <c r="BJ47">
        <v>15</v>
      </c>
      <c r="BK47">
        <v>2164.4999999999995</v>
      </c>
      <c r="BL47">
        <v>46101</v>
      </c>
      <c r="BM47">
        <v>29</v>
      </c>
      <c r="BN47">
        <v>12173</v>
      </c>
      <c r="BO47">
        <v>0</v>
      </c>
      <c r="BP47" t="str">
        <f t="shared" si="0"/>
        <v>HAEMBB</v>
      </c>
    </row>
    <row r="48" spans="1:68" x14ac:dyDescent="0.25">
      <c r="A48" t="s">
        <v>492</v>
      </c>
      <c r="B48" t="s">
        <v>493</v>
      </c>
      <c r="C48" t="s">
        <v>494</v>
      </c>
      <c r="D48">
        <v>15802.220000000001</v>
      </c>
      <c r="E48">
        <v>19271</v>
      </c>
      <c r="F48">
        <v>46066</v>
      </c>
      <c r="G48" t="s">
        <v>159</v>
      </c>
      <c r="H48" t="s">
        <v>304</v>
      </c>
      <c r="I48" t="s">
        <v>495</v>
      </c>
      <c r="J48" t="s">
        <v>306</v>
      </c>
      <c r="K48" t="s">
        <v>307</v>
      </c>
      <c r="L48">
        <v>46070</v>
      </c>
      <c r="M48">
        <v>46070</v>
      </c>
      <c r="N48">
        <v>46070</v>
      </c>
      <c r="O48" t="s">
        <v>318</v>
      </c>
      <c r="P48" t="s">
        <v>204</v>
      </c>
      <c r="Q48" t="s">
        <v>309</v>
      </c>
      <c r="R48" t="s">
        <v>310</v>
      </c>
      <c r="S48" t="s">
        <v>209</v>
      </c>
      <c r="T48" t="s">
        <v>482</v>
      </c>
      <c r="U48">
        <v>793</v>
      </c>
      <c r="V48">
        <v>11736</v>
      </c>
      <c r="W48">
        <v>2579</v>
      </c>
      <c r="X48">
        <v>4163</v>
      </c>
      <c r="Y48">
        <v>19271</v>
      </c>
      <c r="Z48">
        <v>0</v>
      </c>
      <c r="AA48" t="s">
        <v>204</v>
      </c>
      <c r="AB48">
        <v>19271</v>
      </c>
      <c r="AC48">
        <v>11948.02</v>
      </c>
      <c r="AD48">
        <v>300</v>
      </c>
      <c r="AE48">
        <v>600</v>
      </c>
      <c r="AF48">
        <v>300</v>
      </c>
      <c r="AG48">
        <v>0</v>
      </c>
      <c r="AH48" t="s">
        <v>312</v>
      </c>
      <c r="AI48" t="s">
        <v>312</v>
      </c>
      <c r="AJ48" t="s">
        <v>312</v>
      </c>
      <c r="AK48">
        <v>0</v>
      </c>
      <c r="AL48">
        <v>19271</v>
      </c>
      <c r="AM48">
        <v>15750.199999999995</v>
      </c>
      <c r="AN48">
        <v>3520.7999999999993</v>
      </c>
      <c r="AO48">
        <v>19270.999999999993</v>
      </c>
      <c r="AP48">
        <v>300</v>
      </c>
      <c r="AQ48">
        <v>300</v>
      </c>
      <c r="AR48">
        <v>19271</v>
      </c>
      <c r="AS48">
        <v>240</v>
      </c>
      <c r="AT48">
        <v>3854.2000000000003</v>
      </c>
      <c r="AU48">
        <v>46073</v>
      </c>
      <c r="AV48">
        <v>46078</v>
      </c>
      <c r="AW48" t="s">
        <v>204</v>
      </c>
      <c r="AX48">
        <v>0</v>
      </c>
      <c r="AY48">
        <v>60</v>
      </c>
      <c r="AZ48" t="s">
        <v>313</v>
      </c>
      <c r="BD48">
        <v>3</v>
      </c>
      <c r="BE48">
        <v>8</v>
      </c>
      <c r="BF48" t="s">
        <v>314</v>
      </c>
      <c r="BG48" t="s">
        <v>153</v>
      </c>
      <c r="BH48">
        <v>15750.199999999995</v>
      </c>
      <c r="BI48">
        <v>46087</v>
      </c>
      <c r="BJ48">
        <v>17</v>
      </c>
      <c r="BK48">
        <v>3520.7999999999993</v>
      </c>
      <c r="BL48">
        <v>46087</v>
      </c>
      <c r="BM48">
        <v>17</v>
      </c>
      <c r="BN48">
        <v>19270.999999999993</v>
      </c>
      <c r="BO48">
        <v>0</v>
      </c>
      <c r="BP48" t="str">
        <f t="shared" si="0"/>
        <v>HAEMBB</v>
      </c>
    </row>
    <row r="49" spans="1:68" x14ac:dyDescent="0.25">
      <c r="A49" t="s">
        <v>496</v>
      </c>
      <c r="B49" t="s">
        <v>497</v>
      </c>
      <c r="C49" t="s">
        <v>498</v>
      </c>
      <c r="D49">
        <v>15369.259999999998</v>
      </c>
      <c r="E49">
        <v>18743</v>
      </c>
      <c r="F49">
        <v>46066</v>
      </c>
      <c r="G49" t="s">
        <v>159</v>
      </c>
      <c r="H49" t="s">
        <v>304</v>
      </c>
      <c r="I49" t="s">
        <v>499</v>
      </c>
      <c r="J49" t="s">
        <v>306</v>
      </c>
      <c r="K49" t="s">
        <v>307</v>
      </c>
      <c r="L49">
        <v>46070</v>
      </c>
      <c r="M49">
        <v>46070</v>
      </c>
      <c r="N49">
        <v>46070</v>
      </c>
      <c r="O49" t="s">
        <v>487</v>
      </c>
      <c r="P49" t="s">
        <v>204</v>
      </c>
      <c r="Q49" t="s">
        <v>309</v>
      </c>
      <c r="R49" t="s">
        <v>310</v>
      </c>
      <c r="S49" t="s">
        <v>209</v>
      </c>
      <c r="T49" t="s">
        <v>482</v>
      </c>
      <c r="U49">
        <v>793</v>
      </c>
      <c r="V49">
        <v>11208</v>
      </c>
      <c r="W49">
        <v>2579</v>
      </c>
      <c r="X49">
        <v>4163</v>
      </c>
      <c r="Y49">
        <v>18743</v>
      </c>
      <c r="Z49">
        <v>0</v>
      </c>
      <c r="AA49" t="s">
        <v>204</v>
      </c>
      <c r="AB49">
        <v>18743</v>
      </c>
      <c r="AC49">
        <v>11620.66</v>
      </c>
      <c r="AD49">
        <v>300</v>
      </c>
      <c r="AE49">
        <v>600</v>
      </c>
      <c r="AF49">
        <v>300</v>
      </c>
      <c r="AG49">
        <v>0</v>
      </c>
      <c r="AH49" t="s">
        <v>312</v>
      </c>
      <c r="AI49" t="s">
        <v>312</v>
      </c>
      <c r="AJ49" t="s">
        <v>312</v>
      </c>
      <c r="AK49">
        <v>0</v>
      </c>
      <c r="AL49">
        <v>18743</v>
      </c>
      <c r="AM49">
        <v>15380.599999999999</v>
      </c>
      <c r="AN49">
        <v>3362.3999999999996</v>
      </c>
      <c r="AO49">
        <v>18743</v>
      </c>
      <c r="AP49">
        <v>300</v>
      </c>
      <c r="AQ49">
        <v>300</v>
      </c>
      <c r="AR49">
        <v>18743</v>
      </c>
      <c r="AS49">
        <v>240</v>
      </c>
      <c r="AT49">
        <v>3748.6000000000004</v>
      </c>
      <c r="AU49">
        <v>46071</v>
      </c>
      <c r="AV49">
        <v>46083</v>
      </c>
      <c r="AW49" t="s">
        <v>204</v>
      </c>
      <c r="AX49">
        <v>0</v>
      </c>
      <c r="AY49">
        <v>60</v>
      </c>
      <c r="AZ49" t="s">
        <v>313</v>
      </c>
      <c r="BD49">
        <v>1</v>
      </c>
      <c r="BE49">
        <v>13</v>
      </c>
      <c r="BF49" t="s">
        <v>314</v>
      </c>
      <c r="BG49" t="s">
        <v>153</v>
      </c>
      <c r="BH49">
        <v>15380.599999999999</v>
      </c>
      <c r="BI49">
        <v>46081</v>
      </c>
      <c r="BJ49">
        <v>11</v>
      </c>
      <c r="BK49">
        <v>3362.3999999999996</v>
      </c>
      <c r="BL49">
        <v>46101</v>
      </c>
      <c r="BM49">
        <v>31</v>
      </c>
      <c r="BN49">
        <v>18743</v>
      </c>
      <c r="BO49">
        <v>0</v>
      </c>
      <c r="BP49" t="str">
        <f t="shared" si="0"/>
        <v>HAEMBB</v>
      </c>
    </row>
    <row r="50" spans="1:68" x14ac:dyDescent="0.25">
      <c r="A50" t="s">
        <v>500</v>
      </c>
      <c r="B50" t="s">
        <v>501</v>
      </c>
      <c r="C50" t="s">
        <v>502</v>
      </c>
      <c r="D50">
        <v>13352.880000000001</v>
      </c>
      <c r="E50">
        <v>16284</v>
      </c>
      <c r="F50">
        <v>46066</v>
      </c>
      <c r="G50" t="s">
        <v>159</v>
      </c>
      <c r="H50" t="s">
        <v>304</v>
      </c>
      <c r="I50" t="s">
        <v>503</v>
      </c>
      <c r="J50" t="s">
        <v>306</v>
      </c>
      <c r="K50" t="s">
        <v>307</v>
      </c>
      <c r="L50">
        <v>46064</v>
      </c>
      <c r="M50">
        <v>46071</v>
      </c>
      <c r="N50">
        <v>46071</v>
      </c>
      <c r="O50" t="s">
        <v>326</v>
      </c>
      <c r="P50" t="s">
        <v>327</v>
      </c>
      <c r="Q50" t="s">
        <v>328</v>
      </c>
      <c r="R50" t="s">
        <v>310</v>
      </c>
      <c r="S50" t="s">
        <v>209</v>
      </c>
      <c r="T50" t="s">
        <v>482</v>
      </c>
      <c r="U50">
        <v>793</v>
      </c>
      <c r="V50">
        <v>8749</v>
      </c>
      <c r="W50">
        <v>2579</v>
      </c>
      <c r="X50">
        <v>4163</v>
      </c>
      <c r="Y50">
        <v>16284</v>
      </c>
      <c r="Z50">
        <v>1056</v>
      </c>
      <c r="AA50">
        <v>46076</v>
      </c>
      <c r="AB50">
        <v>17340</v>
      </c>
      <c r="AC50">
        <v>10096.08</v>
      </c>
      <c r="AD50">
        <v>7390</v>
      </c>
      <c r="AE50">
        <v>7090</v>
      </c>
      <c r="AF50">
        <v>300</v>
      </c>
      <c r="AG50">
        <v>0</v>
      </c>
      <c r="AH50" t="s">
        <v>312</v>
      </c>
      <c r="AI50" t="s">
        <v>312</v>
      </c>
      <c r="AJ50" t="s">
        <v>312</v>
      </c>
      <c r="AK50">
        <v>0</v>
      </c>
      <c r="AL50">
        <v>17340</v>
      </c>
      <c r="AM50">
        <v>14398.499999999998</v>
      </c>
      <c r="AN50">
        <v>2941.4999999999995</v>
      </c>
      <c r="AO50">
        <v>17339.999999999996</v>
      </c>
      <c r="AP50">
        <v>7390</v>
      </c>
      <c r="AQ50">
        <v>7390</v>
      </c>
      <c r="AR50">
        <v>17340</v>
      </c>
      <c r="AS50">
        <v>7330</v>
      </c>
      <c r="AT50">
        <v>0</v>
      </c>
      <c r="AU50">
        <v>46072</v>
      </c>
      <c r="AV50">
        <v>46074</v>
      </c>
      <c r="AW50" t="s">
        <v>204</v>
      </c>
      <c r="AX50">
        <v>0</v>
      </c>
      <c r="AY50">
        <v>60</v>
      </c>
      <c r="AZ50" t="s">
        <v>313</v>
      </c>
      <c r="BD50">
        <v>1</v>
      </c>
      <c r="BE50">
        <v>3</v>
      </c>
      <c r="BF50" t="s">
        <v>314</v>
      </c>
      <c r="BG50" t="s">
        <v>153</v>
      </c>
      <c r="BH50">
        <v>14398.499999999998</v>
      </c>
      <c r="BI50">
        <v>46087</v>
      </c>
      <c r="BJ50">
        <v>16</v>
      </c>
      <c r="BK50">
        <v>2941.4999999999995</v>
      </c>
      <c r="BL50">
        <v>46087</v>
      </c>
      <c r="BM50">
        <v>16</v>
      </c>
      <c r="BN50">
        <v>17339.999999999996</v>
      </c>
      <c r="BO50">
        <v>0</v>
      </c>
      <c r="BP50" t="str">
        <f t="shared" si="0"/>
        <v>HAEMBB</v>
      </c>
    </row>
    <row r="51" spans="1:68" x14ac:dyDescent="0.25">
      <c r="A51" t="s">
        <v>504</v>
      </c>
      <c r="B51" t="s">
        <v>505</v>
      </c>
      <c r="C51" t="s">
        <v>506</v>
      </c>
      <c r="D51">
        <v>24149.820000000003</v>
      </c>
      <c r="E51">
        <v>29451</v>
      </c>
      <c r="F51">
        <v>46066</v>
      </c>
      <c r="G51" t="s">
        <v>159</v>
      </c>
      <c r="H51" t="s">
        <v>304</v>
      </c>
      <c r="I51" t="s">
        <v>507</v>
      </c>
      <c r="J51" t="s">
        <v>306</v>
      </c>
      <c r="K51" t="s">
        <v>307</v>
      </c>
      <c r="L51">
        <v>46072</v>
      </c>
      <c r="M51">
        <v>46072</v>
      </c>
      <c r="N51">
        <v>46072</v>
      </c>
      <c r="O51" t="s">
        <v>487</v>
      </c>
      <c r="P51" t="s">
        <v>204</v>
      </c>
      <c r="Q51" t="s">
        <v>309</v>
      </c>
      <c r="R51" t="s">
        <v>310</v>
      </c>
      <c r="S51" t="s">
        <v>209</v>
      </c>
      <c r="T51" t="s">
        <v>482</v>
      </c>
      <c r="U51">
        <v>793</v>
      </c>
      <c r="V51">
        <v>21916</v>
      </c>
      <c r="W51">
        <v>2579</v>
      </c>
      <c r="X51">
        <v>4163</v>
      </c>
      <c r="Y51">
        <v>29451</v>
      </c>
      <c r="Z51">
        <v>0</v>
      </c>
      <c r="AA51" t="s">
        <v>204</v>
      </c>
      <c r="AB51">
        <v>29451</v>
      </c>
      <c r="AC51">
        <v>18259.62</v>
      </c>
      <c r="AD51">
        <v>300</v>
      </c>
      <c r="AE51">
        <v>300</v>
      </c>
      <c r="AF51">
        <v>300</v>
      </c>
      <c r="AG51">
        <v>0</v>
      </c>
      <c r="AH51" t="s">
        <v>312</v>
      </c>
      <c r="AI51" t="s">
        <v>312</v>
      </c>
      <c r="AJ51" t="s">
        <v>312</v>
      </c>
      <c r="AK51">
        <v>0</v>
      </c>
      <c r="AL51">
        <v>29451</v>
      </c>
      <c r="AM51">
        <v>22876.199999999993</v>
      </c>
      <c r="AN51">
        <v>6574.7999999999984</v>
      </c>
      <c r="AO51">
        <v>29450.999999999993</v>
      </c>
      <c r="AP51">
        <v>300</v>
      </c>
      <c r="AQ51">
        <v>300</v>
      </c>
      <c r="AR51">
        <v>29451</v>
      </c>
      <c r="AS51">
        <v>240</v>
      </c>
      <c r="AT51">
        <v>5890.2000000000007</v>
      </c>
      <c r="AU51">
        <v>46079</v>
      </c>
      <c r="AV51">
        <v>46083</v>
      </c>
      <c r="AW51" t="s">
        <v>204</v>
      </c>
      <c r="AX51">
        <v>0</v>
      </c>
      <c r="AY51">
        <v>60</v>
      </c>
      <c r="AZ51" t="s">
        <v>313</v>
      </c>
      <c r="BD51">
        <v>7</v>
      </c>
      <c r="BE51">
        <v>11</v>
      </c>
      <c r="BF51" t="s">
        <v>314</v>
      </c>
      <c r="BG51" t="s">
        <v>153</v>
      </c>
      <c r="BH51">
        <v>22876.199999999993</v>
      </c>
      <c r="BI51">
        <v>46087</v>
      </c>
      <c r="BJ51">
        <v>15</v>
      </c>
      <c r="BK51">
        <v>6574.7999999999984</v>
      </c>
      <c r="BL51">
        <v>46101</v>
      </c>
      <c r="BM51">
        <v>29</v>
      </c>
      <c r="BN51">
        <v>29450.999999999993</v>
      </c>
      <c r="BO51">
        <v>0</v>
      </c>
      <c r="BP51" t="str">
        <f t="shared" si="0"/>
        <v>HAEMBB</v>
      </c>
    </row>
    <row r="52" spans="1:68" x14ac:dyDescent="0.25">
      <c r="A52" t="s">
        <v>508</v>
      </c>
      <c r="B52" t="s">
        <v>509</v>
      </c>
      <c r="C52" t="s">
        <v>510</v>
      </c>
      <c r="D52">
        <v>1687.29</v>
      </c>
      <c r="E52">
        <v>2081</v>
      </c>
      <c r="F52">
        <v>46066</v>
      </c>
      <c r="G52" t="s">
        <v>152</v>
      </c>
      <c r="H52" t="s">
        <v>373</v>
      </c>
      <c r="I52" t="s">
        <v>511</v>
      </c>
      <c r="J52" t="s">
        <v>306</v>
      </c>
      <c r="K52" t="s">
        <v>307</v>
      </c>
      <c r="L52">
        <v>46069</v>
      </c>
      <c r="M52">
        <v>46069</v>
      </c>
      <c r="N52">
        <v>46069</v>
      </c>
      <c r="O52" t="s">
        <v>375</v>
      </c>
      <c r="P52" t="s">
        <v>376</v>
      </c>
      <c r="Q52" t="s">
        <v>328</v>
      </c>
      <c r="R52" t="s">
        <v>310</v>
      </c>
      <c r="S52" t="s">
        <v>377</v>
      </c>
      <c r="T52" t="s">
        <v>482</v>
      </c>
      <c r="U52">
        <v>0</v>
      </c>
      <c r="V52">
        <v>1970</v>
      </c>
      <c r="W52">
        <v>0</v>
      </c>
      <c r="X52">
        <v>111</v>
      </c>
      <c r="Y52">
        <v>2081</v>
      </c>
      <c r="Z52">
        <v>0</v>
      </c>
      <c r="AA52" t="s">
        <v>204</v>
      </c>
      <c r="AB52">
        <v>2081</v>
      </c>
      <c r="AC52">
        <v>1500</v>
      </c>
      <c r="AD52">
        <v>1230</v>
      </c>
      <c r="AE52">
        <v>1230</v>
      </c>
      <c r="AF52">
        <v>0</v>
      </c>
      <c r="AG52">
        <v>0</v>
      </c>
      <c r="AH52" t="s">
        <v>312</v>
      </c>
      <c r="AI52" t="s">
        <v>312</v>
      </c>
      <c r="AJ52" t="s">
        <v>312</v>
      </c>
      <c r="AK52">
        <v>0</v>
      </c>
      <c r="AL52">
        <v>2081</v>
      </c>
      <c r="AM52">
        <v>1687</v>
      </c>
      <c r="AN52">
        <v>394</v>
      </c>
      <c r="AO52">
        <v>2081</v>
      </c>
      <c r="AP52">
        <v>1230</v>
      </c>
      <c r="AQ52">
        <v>1230</v>
      </c>
      <c r="AR52">
        <v>2081</v>
      </c>
      <c r="AS52">
        <v>1230</v>
      </c>
      <c r="AT52">
        <v>0</v>
      </c>
      <c r="AU52">
        <v>46069</v>
      </c>
      <c r="AV52">
        <v>46076</v>
      </c>
      <c r="AW52" t="s">
        <v>204</v>
      </c>
      <c r="AX52">
        <v>0</v>
      </c>
      <c r="AY52">
        <v>0</v>
      </c>
      <c r="AZ52" t="s">
        <v>313</v>
      </c>
      <c r="BD52">
        <v>0</v>
      </c>
      <c r="BE52">
        <v>7</v>
      </c>
      <c r="BF52" t="s">
        <v>314</v>
      </c>
      <c r="BG52" t="s">
        <v>155</v>
      </c>
      <c r="BH52">
        <v>1687</v>
      </c>
      <c r="BI52">
        <v>46081</v>
      </c>
      <c r="BJ52">
        <v>12</v>
      </c>
      <c r="BK52">
        <v>394</v>
      </c>
      <c r="BL52">
        <v>46115</v>
      </c>
      <c r="BM52">
        <v>46</v>
      </c>
      <c r="BN52">
        <v>2081</v>
      </c>
      <c r="BO52">
        <v>0</v>
      </c>
      <c r="BP52" t="str">
        <f t="shared" si="0"/>
        <v>TMEIPRAN</v>
      </c>
    </row>
    <row r="53" spans="1:68" x14ac:dyDescent="0.25">
      <c r="A53" t="s">
        <v>512</v>
      </c>
      <c r="B53" t="s">
        <v>513</v>
      </c>
      <c r="C53" t="s">
        <v>514</v>
      </c>
      <c r="D53">
        <v>1687.29</v>
      </c>
      <c r="E53">
        <v>2081</v>
      </c>
      <c r="F53">
        <v>46066</v>
      </c>
      <c r="G53" t="s">
        <v>152</v>
      </c>
      <c r="H53" t="s">
        <v>373</v>
      </c>
      <c r="I53" t="s">
        <v>515</v>
      </c>
      <c r="J53" t="s">
        <v>306</v>
      </c>
      <c r="K53" t="s">
        <v>307</v>
      </c>
      <c r="L53">
        <v>46069</v>
      </c>
      <c r="M53">
        <v>46069</v>
      </c>
      <c r="N53">
        <v>46069</v>
      </c>
      <c r="O53" t="s">
        <v>375</v>
      </c>
      <c r="P53" t="s">
        <v>376</v>
      </c>
      <c r="Q53" t="s">
        <v>328</v>
      </c>
      <c r="R53" t="s">
        <v>310</v>
      </c>
      <c r="S53" t="s">
        <v>377</v>
      </c>
      <c r="T53" t="s">
        <v>482</v>
      </c>
      <c r="U53">
        <v>0</v>
      </c>
      <c r="V53">
        <v>1970</v>
      </c>
      <c r="W53">
        <v>0</v>
      </c>
      <c r="X53">
        <v>111</v>
      </c>
      <c r="Y53">
        <v>2081</v>
      </c>
      <c r="Z53">
        <v>0</v>
      </c>
      <c r="AA53" t="s">
        <v>204</v>
      </c>
      <c r="AB53">
        <v>2081</v>
      </c>
      <c r="AC53">
        <v>1500</v>
      </c>
      <c r="AD53">
        <v>1230</v>
      </c>
      <c r="AE53">
        <v>1230</v>
      </c>
      <c r="AF53">
        <v>0</v>
      </c>
      <c r="AG53">
        <v>0</v>
      </c>
      <c r="AH53" t="s">
        <v>312</v>
      </c>
      <c r="AI53" t="s">
        <v>312</v>
      </c>
      <c r="AJ53" t="s">
        <v>312</v>
      </c>
      <c r="AK53">
        <v>0</v>
      </c>
      <c r="AL53">
        <v>2081</v>
      </c>
      <c r="AM53">
        <v>1687</v>
      </c>
      <c r="AN53">
        <v>394</v>
      </c>
      <c r="AO53">
        <v>2081</v>
      </c>
      <c r="AP53">
        <v>1230</v>
      </c>
      <c r="AQ53">
        <v>1230</v>
      </c>
      <c r="AR53">
        <v>2081</v>
      </c>
      <c r="AS53">
        <v>1230</v>
      </c>
      <c r="AT53">
        <v>0</v>
      </c>
      <c r="AU53">
        <v>46069</v>
      </c>
      <c r="AV53">
        <v>46076</v>
      </c>
      <c r="AW53" t="s">
        <v>204</v>
      </c>
      <c r="AX53">
        <v>0</v>
      </c>
      <c r="AY53">
        <v>0</v>
      </c>
      <c r="AZ53" t="s">
        <v>313</v>
      </c>
      <c r="BD53">
        <v>0</v>
      </c>
      <c r="BE53">
        <v>7</v>
      </c>
      <c r="BF53" t="s">
        <v>314</v>
      </c>
      <c r="BG53" t="s">
        <v>155</v>
      </c>
      <c r="BH53">
        <v>1687</v>
      </c>
      <c r="BI53">
        <v>46081</v>
      </c>
      <c r="BJ53">
        <v>12</v>
      </c>
      <c r="BK53">
        <v>394</v>
      </c>
      <c r="BL53">
        <v>46115</v>
      </c>
      <c r="BM53">
        <v>46</v>
      </c>
      <c r="BN53">
        <v>2081</v>
      </c>
      <c r="BO53">
        <v>0</v>
      </c>
      <c r="BP53" t="str">
        <f t="shared" si="0"/>
        <v>TMEIPRAN</v>
      </c>
    </row>
    <row r="54" spans="1:68" x14ac:dyDescent="0.25">
      <c r="A54" t="s">
        <v>516</v>
      </c>
      <c r="B54" t="s">
        <v>517</v>
      </c>
      <c r="C54" t="s">
        <v>518</v>
      </c>
      <c r="D54">
        <v>3417.82</v>
      </c>
      <c r="E54">
        <v>4413</v>
      </c>
      <c r="F54">
        <v>46066</v>
      </c>
      <c r="G54" t="s">
        <v>152</v>
      </c>
      <c r="H54" t="s">
        <v>393</v>
      </c>
      <c r="I54" t="s">
        <v>519</v>
      </c>
      <c r="J54" t="s">
        <v>306</v>
      </c>
      <c r="K54" t="s">
        <v>307</v>
      </c>
      <c r="L54">
        <v>46069</v>
      </c>
      <c r="M54">
        <v>46069</v>
      </c>
      <c r="N54">
        <v>46069</v>
      </c>
      <c r="O54" t="s">
        <v>375</v>
      </c>
      <c r="P54" t="s">
        <v>376</v>
      </c>
      <c r="Q54" t="s">
        <v>328</v>
      </c>
      <c r="R54" t="s">
        <v>310</v>
      </c>
      <c r="S54" t="s">
        <v>377</v>
      </c>
      <c r="T54" t="s">
        <v>482</v>
      </c>
      <c r="U54">
        <v>0</v>
      </c>
      <c r="V54">
        <v>4413</v>
      </c>
      <c r="W54">
        <v>0</v>
      </c>
      <c r="X54">
        <v>0</v>
      </c>
      <c r="Y54">
        <v>4413</v>
      </c>
      <c r="Z54">
        <v>0</v>
      </c>
      <c r="AA54" t="s">
        <v>204</v>
      </c>
      <c r="AB54">
        <v>4413</v>
      </c>
      <c r="AC54">
        <v>2800</v>
      </c>
      <c r="AD54">
        <v>2800</v>
      </c>
      <c r="AE54">
        <v>2800</v>
      </c>
      <c r="AF54">
        <v>0</v>
      </c>
      <c r="AG54">
        <v>0</v>
      </c>
      <c r="AH54" t="s">
        <v>312</v>
      </c>
      <c r="AI54" t="s">
        <v>312</v>
      </c>
      <c r="AJ54" t="s">
        <v>312</v>
      </c>
      <c r="AK54">
        <v>0</v>
      </c>
      <c r="AL54">
        <v>4413</v>
      </c>
      <c r="AM54">
        <v>3530.4000000000005</v>
      </c>
      <c r="AN54">
        <v>0</v>
      </c>
      <c r="AO54">
        <v>3530.4000000000005</v>
      </c>
      <c r="AP54">
        <v>0</v>
      </c>
      <c r="AQ54">
        <v>2800</v>
      </c>
      <c r="AR54">
        <v>3530.3999999999996</v>
      </c>
      <c r="AS54">
        <v>2800</v>
      </c>
      <c r="AT54">
        <v>0</v>
      </c>
      <c r="AU54">
        <v>46070</v>
      </c>
      <c r="AV54">
        <v>46073</v>
      </c>
      <c r="AW54" t="s">
        <v>204</v>
      </c>
      <c r="AX54">
        <v>882.60000000000036</v>
      </c>
      <c r="AY54">
        <v>0</v>
      </c>
      <c r="AZ54" t="s">
        <v>313</v>
      </c>
      <c r="BD54">
        <v>1</v>
      </c>
      <c r="BE54">
        <v>4</v>
      </c>
      <c r="BF54" t="s">
        <v>314</v>
      </c>
      <c r="BG54" t="s">
        <v>155</v>
      </c>
      <c r="BH54">
        <v>3530.4000000000005</v>
      </c>
      <c r="BI54">
        <v>46081</v>
      </c>
      <c r="BJ54">
        <v>12</v>
      </c>
      <c r="BK54">
        <v>882.60000000000014</v>
      </c>
      <c r="BL54">
        <v>46230</v>
      </c>
      <c r="BM54">
        <v>161</v>
      </c>
      <c r="BN54">
        <v>4413.0000000000009</v>
      </c>
      <c r="BO54">
        <v>0</v>
      </c>
      <c r="BP54" t="str">
        <f t="shared" si="0"/>
        <v>TMEIPRAN</v>
      </c>
    </row>
    <row r="55" spans="1:68" x14ac:dyDescent="0.25">
      <c r="A55" t="s">
        <v>520</v>
      </c>
      <c r="B55" t="s">
        <v>521</v>
      </c>
      <c r="C55" t="s">
        <v>522</v>
      </c>
      <c r="D55">
        <v>1687.29</v>
      </c>
      <c r="E55">
        <v>2081</v>
      </c>
      <c r="F55">
        <v>46066</v>
      </c>
      <c r="G55" t="s">
        <v>152</v>
      </c>
      <c r="H55" t="s">
        <v>373</v>
      </c>
      <c r="I55" t="s">
        <v>523</v>
      </c>
      <c r="J55" t="s">
        <v>306</v>
      </c>
      <c r="K55" t="s">
        <v>307</v>
      </c>
      <c r="L55">
        <v>46070</v>
      </c>
      <c r="M55">
        <v>46070</v>
      </c>
      <c r="N55">
        <v>46070</v>
      </c>
      <c r="O55" t="s">
        <v>375</v>
      </c>
      <c r="P55" t="s">
        <v>376</v>
      </c>
      <c r="Q55" t="s">
        <v>328</v>
      </c>
      <c r="R55" t="s">
        <v>310</v>
      </c>
      <c r="S55" t="s">
        <v>377</v>
      </c>
      <c r="T55" t="s">
        <v>482</v>
      </c>
      <c r="U55">
        <v>0</v>
      </c>
      <c r="V55">
        <v>1970</v>
      </c>
      <c r="W55">
        <v>0</v>
      </c>
      <c r="X55">
        <v>111</v>
      </c>
      <c r="Y55">
        <v>2081</v>
      </c>
      <c r="Z55">
        <v>0</v>
      </c>
      <c r="AA55" t="s">
        <v>204</v>
      </c>
      <c r="AB55">
        <v>2081</v>
      </c>
      <c r="AC55">
        <v>1500</v>
      </c>
      <c r="AD55">
        <v>1230</v>
      </c>
      <c r="AE55">
        <v>1230</v>
      </c>
      <c r="AF55">
        <v>0</v>
      </c>
      <c r="AG55">
        <v>0</v>
      </c>
      <c r="AH55" t="s">
        <v>312</v>
      </c>
      <c r="AI55" t="s">
        <v>312</v>
      </c>
      <c r="AJ55" t="s">
        <v>312</v>
      </c>
      <c r="AK55">
        <v>0</v>
      </c>
      <c r="AL55">
        <v>2081</v>
      </c>
      <c r="AM55">
        <v>1687</v>
      </c>
      <c r="AN55">
        <v>0</v>
      </c>
      <c r="AO55">
        <v>1687</v>
      </c>
      <c r="AP55">
        <v>1230</v>
      </c>
      <c r="AQ55">
        <v>1230</v>
      </c>
      <c r="AR55">
        <v>1687</v>
      </c>
      <c r="AS55">
        <v>1230</v>
      </c>
      <c r="AT55">
        <v>0</v>
      </c>
      <c r="AU55">
        <v>46070</v>
      </c>
      <c r="AV55">
        <v>46078</v>
      </c>
      <c r="AW55" t="s">
        <v>204</v>
      </c>
      <c r="AX55">
        <v>394</v>
      </c>
      <c r="AY55">
        <v>0</v>
      </c>
      <c r="AZ55" t="s">
        <v>313</v>
      </c>
      <c r="BD55">
        <v>0</v>
      </c>
      <c r="BE55">
        <v>8</v>
      </c>
      <c r="BF55" t="s">
        <v>314</v>
      </c>
      <c r="BG55" t="s">
        <v>155</v>
      </c>
      <c r="BH55">
        <v>1687</v>
      </c>
      <c r="BI55">
        <v>46081</v>
      </c>
      <c r="BJ55">
        <v>11</v>
      </c>
      <c r="BK55">
        <v>394</v>
      </c>
      <c r="BL55">
        <v>46230</v>
      </c>
      <c r="BM55">
        <v>160</v>
      </c>
      <c r="BN55">
        <v>2081</v>
      </c>
      <c r="BO55">
        <v>0</v>
      </c>
      <c r="BP55" t="str">
        <f t="shared" si="0"/>
        <v>TMEIPRAN</v>
      </c>
    </row>
    <row r="56" spans="1:68" x14ac:dyDescent="0.25">
      <c r="A56" t="s">
        <v>524</v>
      </c>
      <c r="B56" t="s">
        <v>525</v>
      </c>
      <c r="C56" t="s">
        <v>526</v>
      </c>
      <c r="D56">
        <v>1687.29</v>
      </c>
      <c r="E56">
        <v>2081</v>
      </c>
      <c r="F56">
        <v>46066</v>
      </c>
      <c r="G56" t="s">
        <v>152</v>
      </c>
      <c r="H56" t="s">
        <v>373</v>
      </c>
      <c r="I56" t="s">
        <v>527</v>
      </c>
      <c r="J56" t="s">
        <v>306</v>
      </c>
      <c r="K56" t="s">
        <v>307</v>
      </c>
      <c r="L56">
        <v>46070</v>
      </c>
      <c r="M56">
        <v>46070</v>
      </c>
      <c r="N56">
        <v>46070</v>
      </c>
      <c r="O56" t="s">
        <v>375</v>
      </c>
      <c r="P56" t="s">
        <v>376</v>
      </c>
      <c r="Q56" t="s">
        <v>328</v>
      </c>
      <c r="R56" t="s">
        <v>310</v>
      </c>
      <c r="S56" t="s">
        <v>377</v>
      </c>
      <c r="T56" t="s">
        <v>482</v>
      </c>
      <c r="U56">
        <v>0</v>
      </c>
      <c r="V56">
        <v>1970</v>
      </c>
      <c r="W56">
        <v>0</v>
      </c>
      <c r="X56">
        <v>111</v>
      </c>
      <c r="Y56">
        <v>2081</v>
      </c>
      <c r="Z56">
        <v>0</v>
      </c>
      <c r="AA56" t="s">
        <v>204</v>
      </c>
      <c r="AB56">
        <v>2081</v>
      </c>
      <c r="AC56">
        <v>1500</v>
      </c>
      <c r="AD56">
        <v>1230</v>
      </c>
      <c r="AE56">
        <v>1230</v>
      </c>
      <c r="AF56">
        <v>0</v>
      </c>
      <c r="AG56">
        <v>0</v>
      </c>
      <c r="AH56" t="s">
        <v>312</v>
      </c>
      <c r="AI56" t="s">
        <v>312</v>
      </c>
      <c r="AJ56" t="s">
        <v>312</v>
      </c>
      <c r="AK56">
        <v>0</v>
      </c>
      <c r="AL56">
        <v>2081</v>
      </c>
      <c r="AM56">
        <v>1687</v>
      </c>
      <c r="AN56">
        <v>0</v>
      </c>
      <c r="AO56">
        <v>1687</v>
      </c>
      <c r="AP56">
        <v>1230</v>
      </c>
      <c r="AQ56">
        <v>1230</v>
      </c>
      <c r="AR56">
        <v>1687</v>
      </c>
      <c r="AS56">
        <v>1230</v>
      </c>
      <c r="AT56">
        <v>0</v>
      </c>
      <c r="AU56">
        <v>46070</v>
      </c>
      <c r="AV56">
        <v>46078</v>
      </c>
      <c r="AW56" t="s">
        <v>204</v>
      </c>
      <c r="AX56">
        <v>394</v>
      </c>
      <c r="AY56">
        <v>0</v>
      </c>
      <c r="AZ56" t="s">
        <v>313</v>
      </c>
      <c r="BD56">
        <v>0</v>
      </c>
      <c r="BE56">
        <v>8</v>
      </c>
      <c r="BF56" t="s">
        <v>314</v>
      </c>
      <c r="BG56" t="s">
        <v>155</v>
      </c>
      <c r="BH56">
        <v>1687</v>
      </c>
      <c r="BI56">
        <v>46081</v>
      </c>
      <c r="BJ56">
        <v>11</v>
      </c>
      <c r="BK56">
        <v>394</v>
      </c>
      <c r="BL56">
        <v>46230</v>
      </c>
      <c r="BM56">
        <v>160</v>
      </c>
      <c r="BN56">
        <v>2081</v>
      </c>
      <c r="BO56">
        <v>0</v>
      </c>
      <c r="BP56" t="str">
        <f t="shared" si="0"/>
        <v>TMEIPRAN</v>
      </c>
    </row>
    <row r="57" spans="1:68" x14ac:dyDescent="0.25">
      <c r="A57" t="s">
        <v>528</v>
      </c>
      <c r="B57" t="s">
        <v>529</v>
      </c>
      <c r="C57" t="s">
        <v>530</v>
      </c>
      <c r="D57">
        <v>1687.29</v>
      </c>
      <c r="E57">
        <v>2081</v>
      </c>
      <c r="F57">
        <v>46066</v>
      </c>
      <c r="G57" t="s">
        <v>152</v>
      </c>
      <c r="H57" t="s">
        <v>373</v>
      </c>
      <c r="I57" t="s">
        <v>531</v>
      </c>
      <c r="J57" t="s">
        <v>306</v>
      </c>
      <c r="K57" t="s">
        <v>307</v>
      </c>
      <c r="L57">
        <v>46070</v>
      </c>
      <c r="M57">
        <v>46070</v>
      </c>
      <c r="N57">
        <v>46070</v>
      </c>
      <c r="O57" t="s">
        <v>375</v>
      </c>
      <c r="P57" t="s">
        <v>376</v>
      </c>
      <c r="Q57" t="s">
        <v>328</v>
      </c>
      <c r="R57" t="s">
        <v>310</v>
      </c>
      <c r="S57" t="s">
        <v>377</v>
      </c>
      <c r="T57" t="s">
        <v>482</v>
      </c>
      <c r="U57">
        <v>0</v>
      </c>
      <c r="V57">
        <v>1970</v>
      </c>
      <c r="W57">
        <v>0</v>
      </c>
      <c r="X57">
        <v>111</v>
      </c>
      <c r="Y57">
        <v>2081</v>
      </c>
      <c r="Z57">
        <v>0</v>
      </c>
      <c r="AA57" t="s">
        <v>204</v>
      </c>
      <c r="AB57">
        <v>2081</v>
      </c>
      <c r="AC57">
        <v>1500</v>
      </c>
      <c r="AD57">
        <v>1230</v>
      </c>
      <c r="AE57">
        <v>1230</v>
      </c>
      <c r="AF57">
        <v>0</v>
      </c>
      <c r="AG57">
        <v>0</v>
      </c>
      <c r="AH57" t="s">
        <v>312</v>
      </c>
      <c r="AI57" t="s">
        <v>312</v>
      </c>
      <c r="AJ57" t="s">
        <v>312</v>
      </c>
      <c r="AK57">
        <v>0</v>
      </c>
      <c r="AL57">
        <v>2081</v>
      </c>
      <c r="AM57">
        <v>1687</v>
      </c>
      <c r="AN57">
        <v>0</v>
      </c>
      <c r="AO57">
        <v>1687</v>
      </c>
      <c r="AP57">
        <v>1230</v>
      </c>
      <c r="AQ57">
        <v>1230</v>
      </c>
      <c r="AR57">
        <v>1687</v>
      </c>
      <c r="AS57">
        <v>1230</v>
      </c>
      <c r="AT57">
        <v>0</v>
      </c>
      <c r="AU57">
        <v>46070</v>
      </c>
      <c r="AV57">
        <v>46078</v>
      </c>
      <c r="AW57" t="s">
        <v>204</v>
      </c>
      <c r="AX57">
        <v>394</v>
      </c>
      <c r="AY57">
        <v>0</v>
      </c>
      <c r="AZ57" t="s">
        <v>313</v>
      </c>
      <c r="BD57">
        <v>0</v>
      </c>
      <c r="BE57">
        <v>8</v>
      </c>
      <c r="BF57" t="s">
        <v>314</v>
      </c>
      <c r="BG57" t="s">
        <v>155</v>
      </c>
      <c r="BH57">
        <v>1687</v>
      </c>
      <c r="BI57">
        <v>46081</v>
      </c>
      <c r="BJ57">
        <v>11</v>
      </c>
      <c r="BK57">
        <v>394</v>
      </c>
      <c r="BL57">
        <v>46230</v>
      </c>
      <c r="BM57">
        <v>160</v>
      </c>
      <c r="BN57">
        <v>2081</v>
      </c>
      <c r="BO57">
        <v>0</v>
      </c>
      <c r="BP57" t="str">
        <f t="shared" si="0"/>
        <v>TMEIPRAN</v>
      </c>
    </row>
    <row r="58" spans="1:68" x14ac:dyDescent="0.25">
      <c r="A58" t="s">
        <v>532</v>
      </c>
      <c r="B58" t="s">
        <v>533</v>
      </c>
      <c r="C58" t="s">
        <v>534</v>
      </c>
      <c r="D58">
        <v>1687.29</v>
      </c>
      <c r="E58">
        <v>2081</v>
      </c>
      <c r="F58">
        <v>46066</v>
      </c>
      <c r="G58" t="s">
        <v>152</v>
      </c>
      <c r="H58" t="s">
        <v>373</v>
      </c>
      <c r="I58" t="s">
        <v>535</v>
      </c>
      <c r="J58" t="s">
        <v>306</v>
      </c>
      <c r="K58" t="s">
        <v>307</v>
      </c>
      <c r="L58">
        <v>46070</v>
      </c>
      <c r="M58">
        <v>46070</v>
      </c>
      <c r="N58">
        <v>46070</v>
      </c>
      <c r="O58" t="s">
        <v>395</v>
      </c>
      <c r="P58" t="s">
        <v>396</v>
      </c>
      <c r="Q58" t="s">
        <v>328</v>
      </c>
      <c r="R58" t="s">
        <v>310</v>
      </c>
      <c r="S58" t="s">
        <v>377</v>
      </c>
      <c r="T58" t="s">
        <v>482</v>
      </c>
      <c r="U58">
        <v>0</v>
      </c>
      <c r="V58">
        <v>1970</v>
      </c>
      <c r="W58">
        <v>0</v>
      </c>
      <c r="X58">
        <v>111</v>
      </c>
      <c r="Y58">
        <v>2081</v>
      </c>
      <c r="Z58">
        <v>0</v>
      </c>
      <c r="AA58" t="s">
        <v>204</v>
      </c>
      <c r="AB58">
        <v>2081</v>
      </c>
      <c r="AC58">
        <v>1500</v>
      </c>
      <c r="AD58">
        <v>1230</v>
      </c>
      <c r="AE58">
        <v>1230</v>
      </c>
      <c r="AF58">
        <v>0</v>
      </c>
      <c r="AG58">
        <v>0</v>
      </c>
      <c r="AH58" t="s">
        <v>312</v>
      </c>
      <c r="AI58" t="s">
        <v>312</v>
      </c>
      <c r="AJ58" t="s">
        <v>312</v>
      </c>
      <c r="AK58">
        <v>0</v>
      </c>
      <c r="AL58">
        <v>2081</v>
      </c>
      <c r="AM58">
        <v>1687</v>
      </c>
      <c r="AN58">
        <v>0</v>
      </c>
      <c r="AO58">
        <v>1687</v>
      </c>
      <c r="AP58">
        <v>1230</v>
      </c>
      <c r="AQ58">
        <v>1230</v>
      </c>
      <c r="AR58">
        <v>1687</v>
      </c>
      <c r="AS58">
        <v>1230</v>
      </c>
      <c r="AT58">
        <v>0</v>
      </c>
      <c r="AU58">
        <v>46070</v>
      </c>
      <c r="AV58">
        <v>46078</v>
      </c>
      <c r="AW58" t="s">
        <v>204</v>
      </c>
      <c r="AX58">
        <v>394</v>
      </c>
      <c r="AY58">
        <v>0</v>
      </c>
      <c r="AZ58" t="s">
        <v>313</v>
      </c>
      <c r="BD58">
        <v>0</v>
      </c>
      <c r="BE58">
        <v>8</v>
      </c>
      <c r="BF58" t="s">
        <v>314</v>
      </c>
      <c r="BG58" t="s">
        <v>155</v>
      </c>
      <c r="BH58">
        <v>1687</v>
      </c>
      <c r="BI58">
        <v>46081</v>
      </c>
      <c r="BJ58">
        <v>11</v>
      </c>
      <c r="BK58">
        <v>394</v>
      </c>
      <c r="BL58">
        <v>46230</v>
      </c>
      <c r="BM58">
        <v>160</v>
      </c>
      <c r="BN58">
        <v>2081</v>
      </c>
      <c r="BO58">
        <v>0</v>
      </c>
      <c r="BP58" t="str">
        <f t="shared" si="0"/>
        <v>TMEIPRAN</v>
      </c>
    </row>
    <row r="59" spans="1:68" x14ac:dyDescent="0.25">
      <c r="A59" t="s">
        <v>536</v>
      </c>
      <c r="B59" t="s">
        <v>537</v>
      </c>
      <c r="C59" t="s">
        <v>538</v>
      </c>
      <c r="D59">
        <v>1687.29</v>
      </c>
      <c r="E59">
        <v>2081</v>
      </c>
      <c r="F59">
        <v>46066</v>
      </c>
      <c r="G59" t="s">
        <v>152</v>
      </c>
      <c r="H59" t="s">
        <v>373</v>
      </c>
      <c r="I59" t="s">
        <v>539</v>
      </c>
      <c r="J59" t="s">
        <v>306</v>
      </c>
      <c r="K59" t="s">
        <v>307</v>
      </c>
      <c r="L59">
        <v>46070</v>
      </c>
      <c r="M59">
        <v>46070</v>
      </c>
      <c r="N59">
        <v>46070</v>
      </c>
      <c r="O59" t="s">
        <v>395</v>
      </c>
      <c r="P59" t="s">
        <v>396</v>
      </c>
      <c r="Q59" t="s">
        <v>328</v>
      </c>
      <c r="R59" t="s">
        <v>310</v>
      </c>
      <c r="S59" t="s">
        <v>377</v>
      </c>
      <c r="T59" t="s">
        <v>482</v>
      </c>
      <c r="U59">
        <v>0</v>
      </c>
      <c r="V59">
        <v>1970</v>
      </c>
      <c r="W59">
        <v>0</v>
      </c>
      <c r="X59">
        <v>111</v>
      </c>
      <c r="Y59">
        <v>2081</v>
      </c>
      <c r="Z59">
        <v>0</v>
      </c>
      <c r="AA59" t="s">
        <v>204</v>
      </c>
      <c r="AB59">
        <v>2081</v>
      </c>
      <c r="AC59">
        <v>1500</v>
      </c>
      <c r="AD59">
        <v>1230</v>
      </c>
      <c r="AE59">
        <v>1230</v>
      </c>
      <c r="AF59">
        <v>0</v>
      </c>
      <c r="AG59">
        <v>0</v>
      </c>
      <c r="AH59" t="s">
        <v>312</v>
      </c>
      <c r="AI59" t="s">
        <v>312</v>
      </c>
      <c r="AJ59" t="s">
        <v>312</v>
      </c>
      <c r="AK59">
        <v>0</v>
      </c>
      <c r="AL59">
        <v>2081</v>
      </c>
      <c r="AM59">
        <v>1687</v>
      </c>
      <c r="AN59">
        <v>0</v>
      </c>
      <c r="AO59">
        <v>1687</v>
      </c>
      <c r="AP59">
        <v>1230</v>
      </c>
      <c r="AQ59">
        <v>1230</v>
      </c>
      <c r="AR59">
        <v>1687</v>
      </c>
      <c r="AS59">
        <v>1230</v>
      </c>
      <c r="AT59">
        <v>0</v>
      </c>
      <c r="AU59">
        <v>46071</v>
      </c>
      <c r="AV59">
        <v>46092</v>
      </c>
      <c r="AW59" t="s">
        <v>204</v>
      </c>
      <c r="AX59">
        <v>394</v>
      </c>
      <c r="AY59">
        <v>0</v>
      </c>
      <c r="AZ59" t="s">
        <v>313</v>
      </c>
      <c r="BD59">
        <v>1</v>
      </c>
      <c r="BE59">
        <v>22</v>
      </c>
      <c r="BF59" t="s">
        <v>314</v>
      </c>
      <c r="BG59" t="s">
        <v>155</v>
      </c>
      <c r="BH59">
        <v>1687</v>
      </c>
      <c r="BI59">
        <v>46087</v>
      </c>
      <c r="BJ59">
        <v>17</v>
      </c>
      <c r="BK59">
        <v>0</v>
      </c>
      <c r="BN59">
        <v>1687</v>
      </c>
      <c r="BO59">
        <v>394</v>
      </c>
      <c r="BP59" t="str">
        <f t="shared" si="0"/>
        <v>TMEIPRAN</v>
      </c>
    </row>
    <row r="60" spans="1:68" x14ac:dyDescent="0.25">
      <c r="A60" t="s">
        <v>540</v>
      </c>
      <c r="B60" t="s">
        <v>541</v>
      </c>
      <c r="C60" t="s">
        <v>542</v>
      </c>
      <c r="D60">
        <v>1687.29</v>
      </c>
      <c r="E60">
        <v>2081</v>
      </c>
      <c r="F60">
        <v>46066</v>
      </c>
      <c r="G60" t="s">
        <v>152</v>
      </c>
      <c r="H60" t="s">
        <v>373</v>
      </c>
      <c r="I60" t="s">
        <v>543</v>
      </c>
      <c r="J60" t="s">
        <v>306</v>
      </c>
      <c r="K60" t="s">
        <v>307</v>
      </c>
      <c r="L60">
        <v>46071</v>
      </c>
      <c r="M60">
        <v>46071</v>
      </c>
      <c r="N60">
        <v>46071</v>
      </c>
      <c r="O60" t="s">
        <v>375</v>
      </c>
      <c r="P60" t="s">
        <v>376</v>
      </c>
      <c r="Q60" t="s">
        <v>328</v>
      </c>
      <c r="R60" t="s">
        <v>310</v>
      </c>
      <c r="S60" t="s">
        <v>377</v>
      </c>
      <c r="T60" t="s">
        <v>482</v>
      </c>
      <c r="U60">
        <v>0</v>
      </c>
      <c r="V60">
        <v>1970</v>
      </c>
      <c r="W60">
        <v>0</v>
      </c>
      <c r="X60">
        <v>111</v>
      </c>
      <c r="Y60">
        <v>2081</v>
      </c>
      <c r="Z60">
        <v>0</v>
      </c>
      <c r="AA60" t="s">
        <v>204</v>
      </c>
      <c r="AB60">
        <v>2081</v>
      </c>
      <c r="AC60">
        <v>1500</v>
      </c>
      <c r="AD60">
        <v>1230</v>
      </c>
      <c r="AE60">
        <v>1230</v>
      </c>
      <c r="AF60">
        <v>0</v>
      </c>
      <c r="AG60">
        <v>0</v>
      </c>
      <c r="AH60" t="s">
        <v>312</v>
      </c>
      <c r="AI60" t="s">
        <v>312</v>
      </c>
      <c r="AJ60" t="s">
        <v>312</v>
      </c>
      <c r="AK60">
        <v>0</v>
      </c>
      <c r="AL60">
        <v>2081</v>
      </c>
      <c r="AM60">
        <v>1687</v>
      </c>
      <c r="AN60">
        <v>0</v>
      </c>
      <c r="AO60">
        <v>1687</v>
      </c>
      <c r="AP60">
        <v>1230</v>
      </c>
      <c r="AQ60">
        <v>1230</v>
      </c>
      <c r="AR60">
        <v>1687</v>
      </c>
      <c r="AS60">
        <v>1230</v>
      </c>
      <c r="AT60">
        <v>0</v>
      </c>
      <c r="AU60">
        <v>46071</v>
      </c>
      <c r="AV60">
        <v>46078</v>
      </c>
      <c r="AW60" t="s">
        <v>204</v>
      </c>
      <c r="AX60">
        <v>394</v>
      </c>
      <c r="AY60">
        <v>0</v>
      </c>
      <c r="AZ60" t="s">
        <v>313</v>
      </c>
      <c r="BD60">
        <v>0</v>
      </c>
      <c r="BE60">
        <v>7</v>
      </c>
      <c r="BF60" t="s">
        <v>314</v>
      </c>
      <c r="BG60" t="s">
        <v>155</v>
      </c>
      <c r="BH60">
        <v>1687</v>
      </c>
      <c r="BI60">
        <v>46081</v>
      </c>
      <c r="BJ60">
        <v>10</v>
      </c>
      <c r="BK60">
        <v>394</v>
      </c>
      <c r="BL60">
        <v>46230</v>
      </c>
      <c r="BM60">
        <v>159</v>
      </c>
      <c r="BN60">
        <v>2081</v>
      </c>
      <c r="BO60">
        <v>0</v>
      </c>
      <c r="BP60" t="str">
        <f t="shared" si="0"/>
        <v>TMEIPRAN</v>
      </c>
    </row>
    <row r="61" spans="1:68" x14ac:dyDescent="0.25">
      <c r="A61" t="s">
        <v>544</v>
      </c>
      <c r="B61" t="s">
        <v>545</v>
      </c>
      <c r="C61" t="s">
        <v>546</v>
      </c>
      <c r="D61">
        <v>1687.29</v>
      </c>
      <c r="E61">
        <v>2081</v>
      </c>
      <c r="F61">
        <v>46066</v>
      </c>
      <c r="G61" t="s">
        <v>152</v>
      </c>
      <c r="H61" t="s">
        <v>373</v>
      </c>
      <c r="I61" t="s">
        <v>547</v>
      </c>
      <c r="J61" t="s">
        <v>306</v>
      </c>
      <c r="K61" t="s">
        <v>307</v>
      </c>
      <c r="L61">
        <v>46071</v>
      </c>
      <c r="M61">
        <v>46071</v>
      </c>
      <c r="N61">
        <v>46071</v>
      </c>
      <c r="O61" t="s">
        <v>375</v>
      </c>
      <c r="P61" t="s">
        <v>376</v>
      </c>
      <c r="Q61" t="s">
        <v>328</v>
      </c>
      <c r="R61" t="s">
        <v>310</v>
      </c>
      <c r="S61" t="s">
        <v>377</v>
      </c>
      <c r="T61" t="s">
        <v>482</v>
      </c>
      <c r="U61">
        <v>0</v>
      </c>
      <c r="V61">
        <v>1970</v>
      </c>
      <c r="W61">
        <v>0</v>
      </c>
      <c r="X61">
        <v>111</v>
      </c>
      <c r="Y61">
        <v>2081</v>
      </c>
      <c r="Z61">
        <v>0</v>
      </c>
      <c r="AA61" t="s">
        <v>204</v>
      </c>
      <c r="AB61">
        <v>2081</v>
      </c>
      <c r="AC61">
        <v>1500</v>
      </c>
      <c r="AD61">
        <v>1230</v>
      </c>
      <c r="AE61">
        <v>1230</v>
      </c>
      <c r="AF61">
        <v>0</v>
      </c>
      <c r="AG61">
        <v>0</v>
      </c>
      <c r="AH61" t="s">
        <v>312</v>
      </c>
      <c r="AI61" t="s">
        <v>312</v>
      </c>
      <c r="AJ61" t="s">
        <v>312</v>
      </c>
      <c r="AK61">
        <v>0</v>
      </c>
      <c r="AL61">
        <v>2081</v>
      </c>
      <c r="AM61">
        <v>1687</v>
      </c>
      <c r="AN61">
        <v>0</v>
      </c>
      <c r="AO61">
        <v>1687</v>
      </c>
      <c r="AP61">
        <v>1230</v>
      </c>
      <c r="AQ61">
        <v>1230</v>
      </c>
      <c r="AR61">
        <v>1687</v>
      </c>
      <c r="AS61">
        <v>1230</v>
      </c>
      <c r="AT61">
        <v>0</v>
      </c>
      <c r="AU61">
        <v>46071</v>
      </c>
      <c r="AV61">
        <v>46078</v>
      </c>
      <c r="AW61" t="s">
        <v>204</v>
      </c>
      <c r="AX61">
        <v>394</v>
      </c>
      <c r="AY61">
        <v>0</v>
      </c>
      <c r="AZ61" t="s">
        <v>313</v>
      </c>
      <c r="BD61">
        <v>0</v>
      </c>
      <c r="BE61">
        <v>7</v>
      </c>
      <c r="BF61" t="s">
        <v>314</v>
      </c>
      <c r="BG61" t="s">
        <v>155</v>
      </c>
      <c r="BH61">
        <v>1687</v>
      </c>
      <c r="BI61">
        <v>46081</v>
      </c>
      <c r="BJ61">
        <v>10</v>
      </c>
      <c r="BK61">
        <v>394</v>
      </c>
      <c r="BL61">
        <v>46230</v>
      </c>
      <c r="BM61">
        <v>159</v>
      </c>
      <c r="BN61">
        <v>2081</v>
      </c>
      <c r="BO61">
        <v>0</v>
      </c>
      <c r="BP61" t="str">
        <f t="shared" si="0"/>
        <v>TMEIPRAN</v>
      </c>
    </row>
    <row r="62" spans="1:68" x14ac:dyDescent="0.25">
      <c r="A62" t="s">
        <v>548</v>
      </c>
      <c r="B62" t="s">
        <v>549</v>
      </c>
      <c r="C62" t="s">
        <v>550</v>
      </c>
      <c r="D62">
        <v>1687.29</v>
      </c>
      <c r="E62">
        <v>2081</v>
      </c>
      <c r="F62">
        <v>46066</v>
      </c>
      <c r="G62" t="s">
        <v>152</v>
      </c>
      <c r="H62" t="s">
        <v>373</v>
      </c>
      <c r="I62" t="s">
        <v>551</v>
      </c>
      <c r="J62" t="s">
        <v>306</v>
      </c>
      <c r="K62" t="s">
        <v>307</v>
      </c>
      <c r="L62">
        <v>46071</v>
      </c>
      <c r="M62">
        <v>46071</v>
      </c>
      <c r="N62">
        <v>46071</v>
      </c>
      <c r="O62" t="s">
        <v>375</v>
      </c>
      <c r="P62" t="s">
        <v>376</v>
      </c>
      <c r="Q62" t="s">
        <v>328</v>
      </c>
      <c r="R62" t="s">
        <v>310</v>
      </c>
      <c r="S62" t="s">
        <v>377</v>
      </c>
      <c r="T62" t="s">
        <v>482</v>
      </c>
      <c r="U62">
        <v>0</v>
      </c>
      <c r="V62">
        <v>1970</v>
      </c>
      <c r="W62">
        <v>0</v>
      </c>
      <c r="X62">
        <v>111</v>
      </c>
      <c r="Y62">
        <v>2081</v>
      </c>
      <c r="Z62">
        <v>0</v>
      </c>
      <c r="AA62" t="s">
        <v>204</v>
      </c>
      <c r="AB62">
        <v>2081</v>
      </c>
      <c r="AC62">
        <v>1500</v>
      </c>
      <c r="AD62">
        <v>1230</v>
      </c>
      <c r="AE62">
        <v>1230</v>
      </c>
      <c r="AF62">
        <v>0</v>
      </c>
      <c r="AG62">
        <v>0</v>
      </c>
      <c r="AH62" t="s">
        <v>312</v>
      </c>
      <c r="AI62" t="s">
        <v>312</v>
      </c>
      <c r="AJ62" t="s">
        <v>312</v>
      </c>
      <c r="AK62">
        <v>0</v>
      </c>
      <c r="AL62">
        <v>2081</v>
      </c>
      <c r="AM62">
        <v>1687</v>
      </c>
      <c r="AN62">
        <v>0</v>
      </c>
      <c r="AO62">
        <v>1687</v>
      </c>
      <c r="AP62">
        <v>1230</v>
      </c>
      <c r="AQ62">
        <v>1230</v>
      </c>
      <c r="AR62">
        <v>1687</v>
      </c>
      <c r="AS62">
        <v>1230</v>
      </c>
      <c r="AT62">
        <v>0</v>
      </c>
      <c r="AU62">
        <v>46071</v>
      </c>
      <c r="AV62">
        <v>46078</v>
      </c>
      <c r="AW62" t="s">
        <v>204</v>
      </c>
      <c r="AX62">
        <v>394</v>
      </c>
      <c r="AY62">
        <v>0</v>
      </c>
      <c r="AZ62" t="s">
        <v>313</v>
      </c>
      <c r="BD62">
        <v>0</v>
      </c>
      <c r="BE62">
        <v>7</v>
      </c>
      <c r="BF62" t="s">
        <v>314</v>
      </c>
      <c r="BG62" t="s">
        <v>155</v>
      </c>
      <c r="BH62">
        <v>1687</v>
      </c>
      <c r="BI62">
        <v>46081</v>
      </c>
      <c r="BJ62">
        <v>10</v>
      </c>
      <c r="BK62">
        <v>394</v>
      </c>
      <c r="BL62">
        <v>46230</v>
      </c>
      <c r="BM62">
        <v>159</v>
      </c>
      <c r="BN62">
        <v>2081</v>
      </c>
      <c r="BO62">
        <v>0</v>
      </c>
      <c r="BP62" t="str">
        <f t="shared" si="0"/>
        <v>TMEIPRAN</v>
      </c>
    </row>
    <row r="63" spans="1:68" x14ac:dyDescent="0.25">
      <c r="A63" t="s">
        <v>552</v>
      </c>
      <c r="B63" t="s">
        <v>553</v>
      </c>
      <c r="C63" t="s">
        <v>554</v>
      </c>
      <c r="D63">
        <v>1687.29</v>
      </c>
      <c r="E63">
        <v>2081</v>
      </c>
      <c r="F63">
        <v>46066</v>
      </c>
      <c r="G63" t="s">
        <v>152</v>
      </c>
      <c r="H63" t="s">
        <v>373</v>
      </c>
      <c r="I63" t="s">
        <v>555</v>
      </c>
      <c r="J63" t="s">
        <v>306</v>
      </c>
      <c r="K63" t="s">
        <v>307</v>
      </c>
      <c r="L63">
        <v>46071</v>
      </c>
      <c r="M63">
        <v>46071</v>
      </c>
      <c r="N63">
        <v>46071</v>
      </c>
      <c r="O63" t="s">
        <v>395</v>
      </c>
      <c r="P63" t="s">
        <v>396</v>
      </c>
      <c r="Q63" t="s">
        <v>328</v>
      </c>
      <c r="R63" t="s">
        <v>310</v>
      </c>
      <c r="S63" t="s">
        <v>377</v>
      </c>
      <c r="T63" t="s">
        <v>482</v>
      </c>
      <c r="U63">
        <v>0</v>
      </c>
      <c r="V63">
        <v>1970</v>
      </c>
      <c r="W63">
        <v>0</v>
      </c>
      <c r="X63">
        <v>111</v>
      </c>
      <c r="Y63">
        <v>2081</v>
      </c>
      <c r="Z63">
        <v>0</v>
      </c>
      <c r="AA63" t="s">
        <v>204</v>
      </c>
      <c r="AB63">
        <v>2081</v>
      </c>
      <c r="AC63">
        <v>1500</v>
      </c>
      <c r="AD63">
        <v>1230</v>
      </c>
      <c r="AE63">
        <v>1230</v>
      </c>
      <c r="AF63">
        <v>0</v>
      </c>
      <c r="AG63">
        <v>0</v>
      </c>
      <c r="AH63" t="s">
        <v>312</v>
      </c>
      <c r="AI63" t="s">
        <v>312</v>
      </c>
      <c r="AJ63" t="s">
        <v>312</v>
      </c>
      <c r="AK63">
        <v>0</v>
      </c>
      <c r="AL63">
        <v>2081</v>
      </c>
      <c r="AM63">
        <v>1687</v>
      </c>
      <c r="AN63">
        <v>0</v>
      </c>
      <c r="AO63">
        <v>1687</v>
      </c>
      <c r="AP63">
        <v>1230</v>
      </c>
      <c r="AQ63">
        <v>1230</v>
      </c>
      <c r="AR63">
        <v>1687</v>
      </c>
      <c r="AS63">
        <v>1230</v>
      </c>
      <c r="AT63">
        <v>0</v>
      </c>
      <c r="AU63">
        <v>46071</v>
      </c>
      <c r="AV63">
        <v>46078</v>
      </c>
      <c r="AW63" t="s">
        <v>204</v>
      </c>
      <c r="AX63">
        <v>394</v>
      </c>
      <c r="AY63">
        <v>0</v>
      </c>
      <c r="AZ63" t="s">
        <v>313</v>
      </c>
      <c r="BD63">
        <v>0</v>
      </c>
      <c r="BE63">
        <v>7</v>
      </c>
      <c r="BF63" t="s">
        <v>314</v>
      </c>
      <c r="BG63" t="s">
        <v>155</v>
      </c>
      <c r="BH63">
        <v>1687</v>
      </c>
      <c r="BI63">
        <v>46087</v>
      </c>
      <c r="BJ63">
        <v>16</v>
      </c>
      <c r="BK63">
        <v>0</v>
      </c>
      <c r="BN63">
        <v>1687</v>
      </c>
      <c r="BO63">
        <v>394</v>
      </c>
      <c r="BP63" t="str">
        <f t="shared" si="0"/>
        <v>TMEIPRAN</v>
      </c>
    </row>
    <row r="64" spans="1:68" x14ac:dyDescent="0.25">
      <c r="A64" t="s">
        <v>556</v>
      </c>
      <c r="B64" t="s">
        <v>557</v>
      </c>
      <c r="C64" t="s">
        <v>558</v>
      </c>
      <c r="D64">
        <v>1687.29</v>
      </c>
      <c r="E64">
        <v>2081</v>
      </c>
      <c r="F64">
        <v>46066</v>
      </c>
      <c r="G64" t="s">
        <v>152</v>
      </c>
      <c r="H64" t="s">
        <v>373</v>
      </c>
      <c r="I64" t="s">
        <v>559</v>
      </c>
      <c r="J64" t="s">
        <v>306</v>
      </c>
      <c r="K64" t="s">
        <v>307</v>
      </c>
      <c r="L64">
        <v>46071</v>
      </c>
      <c r="M64">
        <v>46071</v>
      </c>
      <c r="N64">
        <v>46071</v>
      </c>
      <c r="O64" t="s">
        <v>395</v>
      </c>
      <c r="P64" t="s">
        <v>396</v>
      </c>
      <c r="Q64" t="s">
        <v>328</v>
      </c>
      <c r="R64" t="s">
        <v>310</v>
      </c>
      <c r="S64" t="s">
        <v>377</v>
      </c>
      <c r="T64" t="s">
        <v>482</v>
      </c>
      <c r="U64">
        <v>0</v>
      </c>
      <c r="V64">
        <v>1970</v>
      </c>
      <c r="W64">
        <v>0</v>
      </c>
      <c r="X64">
        <v>111</v>
      </c>
      <c r="Y64">
        <v>2081</v>
      </c>
      <c r="Z64">
        <v>0</v>
      </c>
      <c r="AA64" t="s">
        <v>204</v>
      </c>
      <c r="AB64">
        <v>2081</v>
      </c>
      <c r="AC64">
        <v>1500</v>
      </c>
      <c r="AD64">
        <v>1230</v>
      </c>
      <c r="AE64">
        <v>1230</v>
      </c>
      <c r="AF64">
        <v>0</v>
      </c>
      <c r="AG64">
        <v>0</v>
      </c>
      <c r="AH64" t="s">
        <v>312</v>
      </c>
      <c r="AI64" t="s">
        <v>312</v>
      </c>
      <c r="AJ64" t="s">
        <v>312</v>
      </c>
      <c r="AK64">
        <v>0</v>
      </c>
      <c r="AL64">
        <v>2081</v>
      </c>
      <c r="AM64">
        <v>1687</v>
      </c>
      <c r="AN64">
        <v>0</v>
      </c>
      <c r="AO64">
        <v>1687</v>
      </c>
      <c r="AP64">
        <v>1230</v>
      </c>
      <c r="AQ64">
        <v>1230</v>
      </c>
      <c r="AR64">
        <v>1687</v>
      </c>
      <c r="AS64">
        <v>1230</v>
      </c>
      <c r="AT64">
        <v>0</v>
      </c>
      <c r="AU64">
        <v>46071</v>
      </c>
      <c r="AV64">
        <v>46078</v>
      </c>
      <c r="AW64" t="s">
        <v>204</v>
      </c>
      <c r="AX64">
        <v>394</v>
      </c>
      <c r="AY64">
        <v>0</v>
      </c>
      <c r="AZ64" t="s">
        <v>313</v>
      </c>
      <c r="BD64">
        <v>0</v>
      </c>
      <c r="BE64">
        <v>7</v>
      </c>
      <c r="BF64" t="s">
        <v>314</v>
      </c>
      <c r="BG64" t="s">
        <v>155</v>
      </c>
      <c r="BH64">
        <v>1687</v>
      </c>
      <c r="BI64">
        <v>46087</v>
      </c>
      <c r="BJ64">
        <v>16</v>
      </c>
      <c r="BK64">
        <v>394</v>
      </c>
      <c r="BL64">
        <v>46230</v>
      </c>
      <c r="BM64">
        <v>159</v>
      </c>
      <c r="BN64">
        <v>2081</v>
      </c>
      <c r="BO64">
        <v>0</v>
      </c>
      <c r="BP64" t="str">
        <f t="shared" si="0"/>
        <v>TMEIPRAN</v>
      </c>
    </row>
    <row r="65" spans="1:68" x14ac:dyDescent="0.25">
      <c r="A65" t="s">
        <v>560</v>
      </c>
      <c r="B65" t="s">
        <v>561</v>
      </c>
      <c r="C65" t="s">
        <v>562</v>
      </c>
      <c r="D65">
        <v>1687.29</v>
      </c>
      <c r="E65">
        <v>2081</v>
      </c>
      <c r="F65">
        <v>46066</v>
      </c>
      <c r="G65" t="s">
        <v>152</v>
      </c>
      <c r="H65" t="s">
        <v>373</v>
      </c>
      <c r="I65" t="s">
        <v>563</v>
      </c>
      <c r="J65" t="s">
        <v>306</v>
      </c>
      <c r="K65" t="s">
        <v>307</v>
      </c>
      <c r="L65">
        <v>46072</v>
      </c>
      <c r="M65">
        <v>46072</v>
      </c>
      <c r="N65">
        <v>46072</v>
      </c>
      <c r="O65" t="s">
        <v>395</v>
      </c>
      <c r="P65" t="s">
        <v>396</v>
      </c>
      <c r="Q65" t="s">
        <v>328</v>
      </c>
      <c r="R65" t="s">
        <v>310</v>
      </c>
      <c r="S65" t="s">
        <v>377</v>
      </c>
      <c r="T65" t="s">
        <v>482</v>
      </c>
      <c r="U65">
        <v>0</v>
      </c>
      <c r="V65">
        <v>1970</v>
      </c>
      <c r="W65">
        <v>0</v>
      </c>
      <c r="X65">
        <v>111</v>
      </c>
      <c r="Y65">
        <v>2081</v>
      </c>
      <c r="Z65">
        <v>0</v>
      </c>
      <c r="AA65" t="s">
        <v>204</v>
      </c>
      <c r="AB65">
        <v>2081</v>
      </c>
      <c r="AC65">
        <v>1500</v>
      </c>
      <c r="AD65">
        <v>1230</v>
      </c>
      <c r="AE65">
        <v>1230</v>
      </c>
      <c r="AF65">
        <v>0</v>
      </c>
      <c r="AG65">
        <v>0</v>
      </c>
      <c r="AH65" t="s">
        <v>312</v>
      </c>
      <c r="AI65" t="s">
        <v>312</v>
      </c>
      <c r="AJ65" t="s">
        <v>312</v>
      </c>
      <c r="AK65">
        <v>0</v>
      </c>
      <c r="AL65">
        <v>2081</v>
      </c>
      <c r="AM65">
        <v>1687</v>
      </c>
      <c r="AN65">
        <v>0</v>
      </c>
      <c r="AO65">
        <v>1687</v>
      </c>
      <c r="AP65">
        <v>1230</v>
      </c>
      <c r="AQ65">
        <v>1230</v>
      </c>
      <c r="AR65">
        <v>1687</v>
      </c>
      <c r="AS65">
        <v>1230</v>
      </c>
      <c r="AT65">
        <v>0</v>
      </c>
      <c r="AU65">
        <v>46072</v>
      </c>
      <c r="AV65">
        <v>46086</v>
      </c>
      <c r="AW65" t="s">
        <v>204</v>
      </c>
      <c r="AX65">
        <v>394</v>
      </c>
      <c r="AY65">
        <v>0</v>
      </c>
      <c r="AZ65" t="s">
        <v>313</v>
      </c>
      <c r="BD65">
        <v>0</v>
      </c>
      <c r="BE65">
        <v>14</v>
      </c>
      <c r="BF65" t="s">
        <v>314</v>
      </c>
      <c r="BG65" t="s">
        <v>155</v>
      </c>
      <c r="BH65">
        <v>1687</v>
      </c>
      <c r="BI65">
        <v>46087</v>
      </c>
      <c r="BJ65">
        <v>15</v>
      </c>
      <c r="BK65">
        <v>394</v>
      </c>
      <c r="BL65">
        <v>46230</v>
      </c>
      <c r="BM65">
        <v>158</v>
      </c>
      <c r="BN65">
        <v>2081</v>
      </c>
      <c r="BO65">
        <v>0</v>
      </c>
      <c r="BP65" t="str">
        <f t="shared" si="0"/>
        <v>TMEIPRAN</v>
      </c>
    </row>
    <row r="66" spans="1:68" x14ac:dyDescent="0.25">
      <c r="A66" t="s">
        <v>564</v>
      </c>
      <c r="B66" t="s">
        <v>565</v>
      </c>
      <c r="C66" t="s">
        <v>566</v>
      </c>
      <c r="D66">
        <v>1687.29</v>
      </c>
      <c r="E66">
        <v>2081</v>
      </c>
      <c r="F66">
        <v>46066</v>
      </c>
      <c r="G66" t="s">
        <v>152</v>
      </c>
      <c r="H66" t="s">
        <v>373</v>
      </c>
      <c r="I66" t="s">
        <v>567</v>
      </c>
      <c r="J66" t="s">
        <v>306</v>
      </c>
      <c r="K66" t="s">
        <v>307</v>
      </c>
      <c r="L66">
        <v>46072</v>
      </c>
      <c r="M66">
        <v>46072</v>
      </c>
      <c r="N66">
        <v>46072</v>
      </c>
      <c r="O66" t="s">
        <v>395</v>
      </c>
      <c r="P66" t="s">
        <v>396</v>
      </c>
      <c r="Q66" t="s">
        <v>328</v>
      </c>
      <c r="R66" t="s">
        <v>310</v>
      </c>
      <c r="S66" t="s">
        <v>377</v>
      </c>
      <c r="T66" t="s">
        <v>482</v>
      </c>
      <c r="U66">
        <v>0</v>
      </c>
      <c r="V66">
        <v>1970</v>
      </c>
      <c r="W66">
        <v>0</v>
      </c>
      <c r="X66">
        <v>111</v>
      </c>
      <c r="Y66">
        <v>2081</v>
      </c>
      <c r="Z66">
        <v>0</v>
      </c>
      <c r="AA66" t="s">
        <v>204</v>
      </c>
      <c r="AB66">
        <v>2081</v>
      </c>
      <c r="AC66">
        <v>1500</v>
      </c>
      <c r="AD66">
        <v>1230</v>
      </c>
      <c r="AE66">
        <v>1230</v>
      </c>
      <c r="AF66">
        <v>0</v>
      </c>
      <c r="AG66">
        <v>0</v>
      </c>
      <c r="AH66" t="s">
        <v>312</v>
      </c>
      <c r="AI66" t="s">
        <v>312</v>
      </c>
      <c r="AJ66" t="s">
        <v>312</v>
      </c>
      <c r="AK66">
        <v>0</v>
      </c>
      <c r="AL66">
        <v>2081</v>
      </c>
      <c r="AM66">
        <v>1687</v>
      </c>
      <c r="AN66">
        <v>0</v>
      </c>
      <c r="AO66">
        <v>1687</v>
      </c>
      <c r="AP66">
        <v>1230</v>
      </c>
      <c r="AQ66">
        <v>1230</v>
      </c>
      <c r="AR66">
        <v>1687</v>
      </c>
      <c r="AS66">
        <v>1230</v>
      </c>
      <c r="AT66">
        <v>0</v>
      </c>
      <c r="AU66">
        <v>46072</v>
      </c>
      <c r="AV66">
        <v>46086</v>
      </c>
      <c r="AW66" t="s">
        <v>204</v>
      </c>
      <c r="AX66">
        <v>394</v>
      </c>
      <c r="AY66">
        <v>0</v>
      </c>
      <c r="AZ66" t="s">
        <v>313</v>
      </c>
      <c r="BD66">
        <v>0</v>
      </c>
      <c r="BE66">
        <v>14</v>
      </c>
      <c r="BF66" t="s">
        <v>314</v>
      </c>
      <c r="BG66" t="s">
        <v>155</v>
      </c>
      <c r="BH66">
        <v>1687</v>
      </c>
      <c r="BI66">
        <v>46087</v>
      </c>
      <c r="BJ66">
        <v>15</v>
      </c>
      <c r="BK66">
        <v>394</v>
      </c>
      <c r="BL66">
        <v>46230</v>
      </c>
      <c r="BM66">
        <v>158</v>
      </c>
      <c r="BN66">
        <v>2081</v>
      </c>
      <c r="BO66">
        <v>0</v>
      </c>
      <c r="BP66" t="str">
        <f t="shared" si="0"/>
        <v>TMEIPRAN</v>
      </c>
    </row>
    <row r="67" spans="1:68" x14ac:dyDescent="0.25">
      <c r="A67" t="s">
        <v>568</v>
      </c>
      <c r="B67" t="s">
        <v>569</v>
      </c>
      <c r="C67" t="s">
        <v>570</v>
      </c>
      <c r="D67">
        <v>1687.29</v>
      </c>
      <c r="E67">
        <v>2081</v>
      </c>
      <c r="F67">
        <v>46066</v>
      </c>
      <c r="G67" t="s">
        <v>152</v>
      </c>
      <c r="H67" t="s">
        <v>373</v>
      </c>
      <c r="I67" t="s">
        <v>571</v>
      </c>
      <c r="J67" t="s">
        <v>306</v>
      </c>
      <c r="K67" t="s">
        <v>307</v>
      </c>
      <c r="L67">
        <v>46072</v>
      </c>
      <c r="M67">
        <v>46072</v>
      </c>
      <c r="N67">
        <v>46072</v>
      </c>
      <c r="O67" t="s">
        <v>375</v>
      </c>
      <c r="P67" t="s">
        <v>376</v>
      </c>
      <c r="Q67" t="s">
        <v>328</v>
      </c>
      <c r="R67" t="s">
        <v>310</v>
      </c>
      <c r="S67" t="s">
        <v>377</v>
      </c>
      <c r="T67" t="s">
        <v>482</v>
      </c>
      <c r="U67">
        <v>0</v>
      </c>
      <c r="V67">
        <v>1970</v>
      </c>
      <c r="W67">
        <v>0</v>
      </c>
      <c r="X67">
        <v>111</v>
      </c>
      <c r="Y67">
        <v>2081</v>
      </c>
      <c r="Z67">
        <v>0</v>
      </c>
      <c r="AA67" t="s">
        <v>204</v>
      </c>
      <c r="AB67">
        <v>2081</v>
      </c>
      <c r="AC67">
        <v>1500</v>
      </c>
      <c r="AD67">
        <v>1230</v>
      </c>
      <c r="AE67">
        <v>1230</v>
      </c>
      <c r="AF67">
        <v>0</v>
      </c>
      <c r="AG67">
        <v>0</v>
      </c>
      <c r="AH67" t="s">
        <v>312</v>
      </c>
      <c r="AI67" t="s">
        <v>312</v>
      </c>
      <c r="AJ67" t="s">
        <v>312</v>
      </c>
      <c r="AK67">
        <v>0</v>
      </c>
      <c r="AL67">
        <v>2081</v>
      </c>
      <c r="AM67">
        <v>1687</v>
      </c>
      <c r="AN67">
        <v>0</v>
      </c>
      <c r="AO67">
        <v>1687</v>
      </c>
      <c r="AP67">
        <v>1230</v>
      </c>
      <c r="AQ67">
        <v>1230</v>
      </c>
      <c r="AR67">
        <v>1687</v>
      </c>
      <c r="AS67">
        <v>1230</v>
      </c>
      <c r="AT67">
        <v>0</v>
      </c>
      <c r="AU67">
        <v>46072</v>
      </c>
      <c r="AV67">
        <v>46086</v>
      </c>
      <c r="AW67" t="s">
        <v>204</v>
      </c>
      <c r="AX67">
        <v>394</v>
      </c>
      <c r="AY67">
        <v>0</v>
      </c>
      <c r="AZ67" t="s">
        <v>313</v>
      </c>
      <c r="BD67">
        <v>0</v>
      </c>
      <c r="BE67">
        <v>14</v>
      </c>
      <c r="BF67" t="s">
        <v>314</v>
      </c>
      <c r="BG67" t="s">
        <v>155</v>
      </c>
      <c r="BH67">
        <v>1687</v>
      </c>
      <c r="BI67">
        <v>46087</v>
      </c>
      <c r="BJ67">
        <v>15</v>
      </c>
      <c r="BK67">
        <v>0</v>
      </c>
      <c r="BN67">
        <v>1687</v>
      </c>
      <c r="BO67">
        <v>394</v>
      </c>
      <c r="BP67" t="str">
        <f t="shared" si="0"/>
        <v>TMEIPRAN</v>
      </c>
    </row>
    <row r="68" spans="1:68" x14ac:dyDescent="0.25">
      <c r="A68" t="s">
        <v>572</v>
      </c>
      <c r="B68" t="s">
        <v>573</v>
      </c>
      <c r="C68" t="s">
        <v>574</v>
      </c>
      <c r="D68">
        <v>1687.29</v>
      </c>
      <c r="E68">
        <v>2081</v>
      </c>
      <c r="F68">
        <v>46066</v>
      </c>
      <c r="G68" t="s">
        <v>152</v>
      </c>
      <c r="H68" t="s">
        <v>373</v>
      </c>
      <c r="I68" t="s">
        <v>575</v>
      </c>
      <c r="J68" t="s">
        <v>306</v>
      </c>
      <c r="K68" t="s">
        <v>307</v>
      </c>
      <c r="L68">
        <v>46073</v>
      </c>
      <c r="M68">
        <v>46073</v>
      </c>
      <c r="N68">
        <v>46073</v>
      </c>
      <c r="O68" t="s">
        <v>375</v>
      </c>
      <c r="P68" t="s">
        <v>376</v>
      </c>
      <c r="Q68" t="s">
        <v>328</v>
      </c>
      <c r="R68" t="s">
        <v>310</v>
      </c>
      <c r="S68" t="s">
        <v>377</v>
      </c>
      <c r="T68" t="s">
        <v>482</v>
      </c>
      <c r="U68">
        <v>0</v>
      </c>
      <c r="V68">
        <v>1970</v>
      </c>
      <c r="W68">
        <v>0</v>
      </c>
      <c r="X68">
        <v>111</v>
      </c>
      <c r="Y68">
        <v>2081</v>
      </c>
      <c r="Z68">
        <v>0</v>
      </c>
      <c r="AA68" t="s">
        <v>204</v>
      </c>
      <c r="AB68">
        <v>2081</v>
      </c>
      <c r="AC68">
        <v>1500</v>
      </c>
      <c r="AD68">
        <v>1230</v>
      </c>
      <c r="AE68">
        <v>1230</v>
      </c>
      <c r="AF68">
        <v>0</v>
      </c>
      <c r="AG68">
        <v>0</v>
      </c>
      <c r="AH68" t="s">
        <v>312</v>
      </c>
      <c r="AI68" t="s">
        <v>312</v>
      </c>
      <c r="AJ68" t="s">
        <v>312</v>
      </c>
      <c r="AK68">
        <v>0</v>
      </c>
      <c r="AL68">
        <v>2081</v>
      </c>
      <c r="AM68">
        <v>1687</v>
      </c>
      <c r="AN68">
        <v>0</v>
      </c>
      <c r="AO68">
        <v>1687</v>
      </c>
      <c r="AP68">
        <v>1230</v>
      </c>
      <c r="AQ68">
        <v>1230</v>
      </c>
      <c r="AR68">
        <v>1687</v>
      </c>
      <c r="AS68">
        <v>1230</v>
      </c>
      <c r="AT68">
        <v>0</v>
      </c>
      <c r="AU68">
        <v>46073</v>
      </c>
      <c r="AV68">
        <v>46092</v>
      </c>
      <c r="AW68" t="s">
        <v>204</v>
      </c>
      <c r="AX68">
        <v>394</v>
      </c>
      <c r="AY68">
        <v>0</v>
      </c>
      <c r="AZ68" t="s">
        <v>313</v>
      </c>
      <c r="BD68">
        <v>0</v>
      </c>
      <c r="BE68">
        <v>19</v>
      </c>
      <c r="BF68" t="s">
        <v>314</v>
      </c>
      <c r="BG68" t="s">
        <v>155</v>
      </c>
      <c r="BH68">
        <v>1687</v>
      </c>
      <c r="BI68">
        <v>46087</v>
      </c>
      <c r="BJ68">
        <v>14</v>
      </c>
      <c r="BK68">
        <v>0</v>
      </c>
      <c r="BN68">
        <v>1687</v>
      </c>
      <c r="BO68">
        <v>394</v>
      </c>
      <c r="BP68" t="str">
        <f t="shared" ref="BP68:BP131" si="1">G68&amp;BG68</f>
        <v>TMEIPRAN</v>
      </c>
    </row>
    <row r="69" spans="1:68" x14ac:dyDescent="0.25">
      <c r="A69" t="s">
        <v>576</v>
      </c>
      <c r="B69" t="s">
        <v>577</v>
      </c>
      <c r="C69" t="s">
        <v>578</v>
      </c>
      <c r="D69">
        <v>1687.29</v>
      </c>
      <c r="E69">
        <v>2081</v>
      </c>
      <c r="F69">
        <v>46066</v>
      </c>
      <c r="G69" t="s">
        <v>152</v>
      </c>
      <c r="H69" t="s">
        <v>373</v>
      </c>
      <c r="I69" t="s">
        <v>579</v>
      </c>
      <c r="J69" t="s">
        <v>306</v>
      </c>
      <c r="K69" t="s">
        <v>307</v>
      </c>
      <c r="L69">
        <v>46073</v>
      </c>
      <c r="M69">
        <v>46073</v>
      </c>
      <c r="N69">
        <v>46073</v>
      </c>
      <c r="O69" t="s">
        <v>375</v>
      </c>
      <c r="P69" t="s">
        <v>376</v>
      </c>
      <c r="Q69" t="s">
        <v>328</v>
      </c>
      <c r="R69" t="s">
        <v>310</v>
      </c>
      <c r="S69" t="s">
        <v>377</v>
      </c>
      <c r="T69" t="s">
        <v>482</v>
      </c>
      <c r="U69">
        <v>0</v>
      </c>
      <c r="V69">
        <v>1970</v>
      </c>
      <c r="W69">
        <v>0</v>
      </c>
      <c r="X69">
        <v>111</v>
      </c>
      <c r="Y69">
        <v>2081</v>
      </c>
      <c r="Z69">
        <v>0</v>
      </c>
      <c r="AA69" t="s">
        <v>204</v>
      </c>
      <c r="AB69">
        <v>2081</v>
      </c>
      <c r="AC69">
        <v>1500</v>
      </c>
      <c r="AD69">
        <v>1230</v>
      </c>
      <c r="AE69">
        <v>1230</v>
      </c>
      <c r="AF69">
        <v>0</v>
      </c>
      <c r="AG69">
        <v>0</v>
      </c>
      <c r="AH69" t="s">
        <v>312</v>
      </c>
      <c r="AI69" t="s">
        <v>312</v>
      </c>
      <c r="AJ69" t="s">
        <v>312</v>
      </c>
      <c r="AK69">
        <v>0</v>
      </c>
      <c r="AL69">
        <v>2081</v>
      </c>
      <c r="AM69">
        <v>1687</v>
      </c>
      <c r="AN69">
        <v>0</v>
      </c>
      <c r="AO69">
        <v>1687</v>
      </c>
      <c r="AP69">
        <v>1230</v>
      </c>
      <c r="AQ69">
        <v>1230</v>
      </c>
      <c r="AR69">
        <v>1687</v>
      </c>
      <c r="AS69">
        <v>1230</v>
      </c>
      <c r="AT69">
        <v>0</v>
      </c>
      <c r="AU69">
        <v>46073</v>
      </c>
      <c r="AV69">
        <v>46086</v>
      </c>
      <c r="AW69" t="s">
        <v>204</v>
      </c>
      <c r="AX69">
        <v>394</v>
      </c>
      <c r="AY69">
        <v>0</v>
      </c>
      <c r="AZ69" t="s">
        <v>313</v>
      </c>
      <c r="BD69">
        <v>0</v>
      </c>
      <c r="BE69">
        <v>13</v>
      </c>
      <c r="BF69" t="s">
        <v>314</v>
      </c>
      <c r="BG69" t="s">
        <v>155</v>
      </c>
      <c r="BH69">
        <v>1687</v>
      </c>
      <c r="BI69">
        <v>46087</v>
      </c>
      <c r="BJ69">
        <v>14</v>
      </c>
      <c r="BK69">
        <v>0</v>
      </c>
      <c r="BN69">
        <v>1687</v>
      </c>
      <c r="BO69">
        <v>394</v>
      </c>
      <c r="BP69" t="str">
        <f t="shared" si="1"/>
        <v>TMEIPRAN</v>
      </c>
    </row>
    <row r="70" spans="1:68" x14ac:dyDescent="0.25">
      <c r="A70" t="s">
        <v>580</v>
      </c>
      <c r="B70" t="s">
        <v>581</v>
      </c>
      <c r="C70" t="s">
        <v>582</v>
      </c>
      <c r="D70">
        <v>10415.64</v>
      </c>
      <c r="E70">
        <v>12702</v>
      </c>
      <c r="F70">
        <v>46066</v>
      </c>
      <c r="G70" t="s">
        <v>159</v>
      </c>
      <c r="H70" t="s">
        <v>304</v>
      </c>
      <c r="I70" t="s">
        <v>583</v>
      </c>
      <c r="J70" t="s">
        <v>306</v>
      </c>
      <c r="K70" t="s">
        <v>307</v>
      </c>
      <c r="L70">
        <v>46076</v>
      </c>
      <c r="M70">
        <v>46076</v>
      </c>
      <c r="N70">
        <v>46076</v>
      </c>
      <c r="O70" t="s">
        <v>318</v>
      </c>
      <c r="P70" t="s">
        <v>204</v>
      </c>
      <c r="Q70" t="s">
        <v>309</v>
      </c>
      <c r="R70" t="s">
        <v>310</v>
      </c>
      <c r="S70" t="s">
        <v>209</v>
      </c>
      <c r="T70" t="s">
        <v>584</v>
      </c>
      <c r="U70">
        <v>793</v>
      </c>
      <c r="V70">
        <v>10323</v>
      </c>
      <c r="W70">
        <v>0</v>
      </c>
      <c r="X70">
        <v>1586</v>
      </c>
      <c r="Y70">
        <v>12702</v>
      </c>
      <c r="Z70">
        <v>0</v>
      </c>
      <c r="AA70" t="s">
        <v>204</v>
      </c>
      <c r="AB70">
        <v>12702</v>
      </c>
      <c r="AC70">
        <v>7875.24</v>
      </c>
      <c r="AD70">
        <v>300</v>
      </c>
      <c r="AE70">
        <v>300</v>
      </c>
      <c r="AF70">
        <v>300</v>
      </c>
      <c r="AG70">
        <v>0</v>
      </c>
      <c r="AH70" t="s">
        <v>312</v>
      </c>
      <c r="AI70" t="s">
        <v>312</v>
      </c>
      <c r="AJ70" t="s">
        <v>312</v>
      </c>
      <c r="AK70">
        <v>0</v>
      </c>
      <c r="AL70">
        <v>13759</v>
      </c>
      <c r="AM70">
        <v>11118.699999999999</v>
      </c>
      <c r="AN70">
        <v>2640.2999999999997</v>
      </c>
      <c r="AO70">
        <v>13758.999999999998</v>
      </c>
      <c r="AP70">
        <v>300</v>
      </c>
      <c r="AQ70">
        <v>300</v>
      </c>
      <c r="AR70">
        <v>13759</v>
      </c>
      <c r="AS70">
        <v>300</v>
      </c>
      <c r="AT70">
        <v>2540.4</v>
      </c>
      <c r="AU70">
        <v>46076</v>
      </c>
      <c r="AV70">
        <v>46083</v>
      </c>
      <c r="AW70" t="s">
        <v>204</v>
      </c>
      <c r="AX70">
        <v>0</v>
      </c>
      <c r="AY70">
        <v>0</v>
      </c>
      <c r="AZ70" t="s">
        <v>313</v>
      </c>
      <c r="BD70">
        <v>0</v>
      </c>
      <c r="BE70">
        <v>7</v>
      </c>
      <c r="BF70" t="s">
        <v>314</v>
      </c>
      <c r="BG70" t="s">
        <v>153</v>
      </c>
      <c r="BH70">
        <v>11118.699999999999</v>
      </c>
      <c r="BI70">
        <v>46087</v>
      </c>
      <c r="BJ70">
        <v>11</v>
      </c>
      <c r="BK70">
        <v>2640.2999999999997</v>
      </c>
      <c r="BL70">
        <v>46101</v>
      </c>
      <c r="BM70">
        <v>25</v>
      </c>
      <c r="BN70">
        <v>13758.999999999998</v>
      </c>
      <c r="BO70">
        <v>0</v>
      </c>
      <c r="BP70" t="str">
        <f t="shared" si="1"/>
        <v>HAEMBB</v>
      </c>
    </row>
    <row r="71" spans="1:68" x14ac:dyDescent="0.25">
      <c r="A71" t="s">
        <v>585</v>
      </c>
      <c r="B71" t="s">
        <v>586</v>
      </c>
      <c r="C71" t="s">
        <v>587</v>
      </c>
      <c r="D71">
        <v>9765.3799999999992</v>
      </c>
      <c r="E71">
        <v>11909</v>
      </c>
      <c r="F71">
        <v>46066</v>
      </c>
      <c r="G71" t="s">
        <v>159</v>
      </c>
      <c r="H71" t="s">
        <v>304</v>
      </c>
      <c r="I71" t="s">
        <v>588</v>
      </c>
      <c r="J71" t="s">
        <v>306</v>
      </c>
      <c r="K71" t="s">
        <v>307</v>
      </c>
      <c r="L71">
        <v>46076</v>
      </c>
      <c r="M71">
        <v>46076</v>
      </c>
      <c r="N71">
        <v>46076</v>
      </c>
      <c r="O71" t="s">
        <v>326</v>
      </c>
      <c r="P71" t="s">
        <v>327</v>
      </c>
      <c r="Q71" t="s">
        <v>328</v>
      </c>
      <c r="R71" t="s">
        <v>310</v>
      </c>
      <c r="S71" t="s">
        <v>209</v>
      </c>
      <c r="T71" t="s">
        <v>584</v>
      </c>
      <c r="U71">
        <v>793</v>
      </c>
      <c r="V71">
        <v>9530</v>
      </c>
      <c r="W71">
        <v>0</v>
      </c>
      <c r="X71">
        <v>1586</v>
      </c>
      <c r="Y71">
        <v>11909</v>
      </c>
      <c r="Z71">
        <v>1056</v>
      </c>
      <c r="AA71" t="s">
        <v>204</v>
      </c>
      <c r="AB71">
        <v>12965</v>
      </c>
      <c r="AC71">
        <v>7383.58</v>
      </c>
      <c r="AD71">
        <v>6570</v>
      </c>
      <c r="AE71">
        <v>6270</v>
      </c>
      <c r="AF71">
        <v>300</v>
      </c>
      <c r="AG71">
        <v>0</v>
      </c>
      <c r="AH71" t="s">
        <v>312</v>
      </c>
      <c r="AI71" t="s">
        <v>312</v>
      </c>
      <c r="AJ71" t="s">
        <v>312</v>
      </c>
      <c r="AK71">
        <v>0</v>
      </c>
      <c r="AL71">
        <v>12965</v>
      </c>
      <c r="AM71">
        <v>10562.900000000001</v>
      </c>
      <c r="AN71">
        <v>2402.1</v>
      </c>
      <c r="AO71">
        <v>12965.000000000002</v>
      </c>
      <c r="AP71">
        <v>6570</v>
      </c>
      <c r="AQ71">
        <v>6570</v>
      </c>
      <c r="AR71">
        <v>12965.000000000002</v>
      </c>
      <c r="AS71">
        <v>6570</v>
      </c>
      <c r="AT71">
        <v>0</v>
      </c>
      <c r="AU71">
        <v>46077</v>
      </c>
      <c r="AV71">
        <v>46079</v>
      </c>
      <c r="AW71" t="s">
        <v>204</v>
      </c>
      <c r="AX71">
        <v>0</v>
      </c>
      <c r="AY71">
        <v>0</v>
      </c>
      <c r="AZ71" t="s">
        <v>313</v>
      </c>
      <c r="BD71">
        <v>1</v>
      </c>
      <c r="BE71">
        <v>3</v>
      </c>
      <c r="BF71" t="s">
        <v>314</v>
      </c>
      <c r="BG71" t="s">
        <v>153</v>
      </c>
      <c r="BH71">
        <v>10562.900000000001</v>
      </c>
      <c r="BI71">
        <v>46087</v>
      </c>
      <c r="BJ71">
        <v>11</v>
      </c>
      <c r="BK71">
        <v>2402.1</v>
      </c>
      <c r="BL71">
        <v>46096</v>
      </c>
      <c r="BM71">
        <v>20</v>
      </c>
      <c r="BN71">
        <v>12965.000000000002</v>
      </c>
      <c r="BO71">
        <v>0</v>
      </c>
      <c r="BP71" t="str">
        <f t="shared" si="1"/>
        <v>HAEMBB</v>
      </c>
    </row>
    <row r="72" spans="1:68" x14ac:dyDescent="0.25">
      <c r="A72" t="s">
        <v>589</v>
      </c>
      <c r="B72" t="s">
        <v>590</v>
      </c>
      <c r="C72" t="s">
        <v>591</v>
      </c>
      <c r="D72">
        <v>9765.3799999999992</v>
      </c>
      <c r="E72">
        <v>11909</v>
      </c>
      <c r="F72">
        <v>46066</v>
      </c>
      <c r="G72" t="s">
        <v>159</v>
      </c>
      <c r="H72" t="s">
        <v>304</v>
      </c>
      <c r="I72" t="s">
        <v>592</v>
      </c>
      <c r="J72" t="s">
        <v>306</v>
      </c>
      <c r="K72" t="s">
        <v>307</v>
      </c>
      <c r="L72">
        <v>46076</v>
      </c>
      <c r="M72">
        <v>46077</v>
      </c>
      <c r="N72">
        <v>46077</v>
      </c>
      <c r="O72" t="s">
        <v>318</v>
      </c>
      <c r="P72" t="s">
        <v>204</v>
      </c>
      <c r="Q72" t="s">
        <v>309</v>
      </c>
      <c r="R72" t="s">
        <v>310</v>
      </c>
      <c r="S72" t="s">
        <v>209</v>
      </c>
      <c r="T72" t="s">
        <v>584</v>
      </c>
      <c r="U72">
        <v>793</v>
      </c>
      <c r="V72">
        <v>9530</v>
      </c>
      <c r="W72">
        <v>0</v>
      </c>
      <c r="X72">
        <v>1586</v>
      </c>
      <c r="Y72">
        <v>11909</v>
      </c>
      <c r="Z72">
        <v>0</v>
      </c>
      <c r="AA72" t="s">
        <v>204</v>
      </c>
      <c r="AB72">
        <v>11909</v>
      </c>
      <c r="AC72">
        <v>7383.58</v>
      </c>
      <c r="AD72">
        <v>300</v>
      </c>
      <c r="AE72">
        <v>300</v>
      </c>
      <c r="AF72">
        <v>300</v>
      </c>
      <c r="AG72">
        <v>0</v>
      </c>
      <c r="AH72" t="s">
        <v>312</v>
      </c>
      <c r="AI72" t="s">
        <v>312</v>
      </c>
      <c r="AJ72" t="s">
        <v>312</v>
      </c>
      <c r="AK72">
        <v>0</v>
      </c>
      <c r="AL72">
        <v>12965</v>
      </c>
      <c r="AM72">
        <v>10562.9</v>
      </c>
      <c r="AN72">
        <v>2402.1</v>
      </c>
      <c r="AO72">
        <v>12965</v>
      </c>
      <c r="AP72">
        <v>300</v>
      </c>
      <c r="AQ72">
        <v>300</v>
      </c>
      <c r="AR72">
        <v>12965</v>
      </c>
      <c r="AS72">
        <v>300</v>
      </c>
      <c r="AT72">
        <v>2381.8000000000002</v>
      </c>
      <c r="AU72">
        <v>46078</v>
      </c>
      <c r="AV72">
        <v>46079</v>
      </c>
      <c r="AW72" t="s">
        <v>204</v>
      </c>
      <c r="AX72">
        <v>0</v>
      </c>
      <c r="AY72">
        <v>0</v>
      </c>
      <c r="AZ72" t="s">
        <v>313</v>
      </c>
      <c r="BD72">
        <v>1</v>
      </c>
      <c r="BE72">
        <v>2</v>
      </c>
      <c r="BF72" t="s">
        <v>314</v>
      </c>
      <c r="BG72" t="s">
        <v>153</v>
      </c>
      <c r="BH72">
        <v>10562.9</v>
      </c>
      <c r="BI72">
        <v>46087</v>
      </c>
      <c r="BJ72">
        <v>10</v>
      </c>
      <c r="BK72">
        <v>2402.1</v>
      </c>
      <c r="BL72">
        <v>46096</v>
      </c>
      <c r="BM72">
        <v>19</v>
      </c>
      <c r="BN72">
        <v>12965</v>
      </c>
      <c r="BO72">
        <v>0</v>
      </c>
      <c r="BP72" t="str">
        <f t="shared" si="1"/>
        <v>HAEMBB</v>
      </c>
    </row>
    <row r="73" spans="1:68" x14ac:dyDescent="0.25">
      <c r="A73" t="s">
        <v>593</v>
      </c>
      <c r="B73" t="s">
        <v>594</v>
      </c>
      <c r="C73" t="s">
        <v>595</v>
      </c>
      <c r="D73">
        <v>1687.29</v>
      </c>
      <c r="E73">
        <v>2081</v>
      </c>
      <c r="F73">
        <v>46066</v>
      </c>
      <c r="G73" t="s">
        <v>152</v>
      </c>
      <c r="H73" t="s">
        <v>373</v>
      </c>
      <c r="I73" t="s">
        <v>596</v>
      </c>
      <c r="J73" t="s">
        <v>306</v>
      </c>
      <c r="K73" t="s">
        <v>307</v>
      </c>
      <c r="L73">
        <v>46077</v>
      </c>
      <c r="M73">
        <v>46077</v>
      </c>
      <c r="N73">
        <v>46077</v>
      </c>
      <c r="O73" t="s">
        <v>375</v>
      </c>
      <c r="P73" t="s">
        <v>376</v>
      </c>
      <c r="Q73" t="s">
        <v>328</v>
      </c>
      <c r="R73" t="s">
        <v>310</v>
      </c>
      <c r="S73" t="s">
        <v>377</v>
      </c>
      <c r="T73" t="s">
        <v>584</v>
      </c>
      <c r="U73">
        <v>0</v>
      </c>
      <c r="V73">
        <v>1970</v>
      </c>
      <c r="W73">
        <v>0</v>
      </c>
      <c r="X73">
        <v>111</v>
      </c>
      <c r="Y73">
        <v>2081</v>
      </c>
      <c r="Z73">
        <v>0</v>
      </c>
      <c r="AA73" t="s">
        <v>204</v>
      </c>
      <c r="AB73">
        <v>2081</v>
      </c>
      <c r="AC73">
        <v>1500</v>
      </c>
      <c r="AD73">
        <v>1301.1000000000001</v>
      </c>
      <c r="AE73">
        <v>1301.1000000000001</v>
      </c>
      <c r="AF73">
        <v>0</v>
      </c>
      <c r="AG73">
        <v>0</v>
      </c>
      <c r="AH73" t="s">
        <v>312</v>
      </c>
      <c r="AI73" t="s">
        <v>312</v>
      </c>
      <c r="AJ73" t="s">
        <v>312</v>
      </c>
      <c r="AK73">
        <v>0</v>
      </c>
      <c r="AL73">
        <v>2081</v>
      </c>
      <c r="AM73">
        <v>1687</v>
      </c>
      <c r="AN73">
        <v>0</v>
      </c>
      <c r="AO73">
        <v>1687</v>
      </c>
      <c r="AP73">
        <v>1301.1000000000001</v>
      </c>
      <c r="AQ73">
        <v>1301.1000000000001</v>
      </c>
      <c r="AR73">
        <v>1687</v>
      </c>
      <c r="AS73">
        <v>1301.1000000000001</v>
      </c>
      <c r="AT73">
        <v>0</v>
      </c>
      <c r="AU73">
        <v>46077</v>
      </c>
      <c r="AV73">
        <v>46086</v>
      </c>
      <c r="AW73" t="s">
        <v>204</v>
      </c>
      <c r="AX73">
        <v>394</v>
      </c>
      <c r="AY73">
        <v>0</v>
      </c>
      <c r="AZ73" t="s">
        <v>313</v>
      </c>
      <c r="BD73">
        <v>0</v>
      </c>
      <c r="BE73">
        <v>9</v>
      </c>
      <c r="BF73" t="s">
        <v>314</v>
      </c>
      <c r="BG73" t="s">
        <v>155</v>
      </c>
      <c r="BH73">
        <v>1687</v>
      </c>
      <c r="BI73">
        <v>46087</v>
      </c>
      <c r="BJ73">
        <v>10</v>
      </c>
      <c r="BK73">
        <v>0</v>
      </c>
      <c r="BN73">
        <v>1687</v>
      </c>
      <c r="BO73">
        <v>394</v>
      </c>
      <c r="BP73" t="str">
        <f t="shared" si="1"/>
        <v>TMEIPRAN</v>
      </c>
    </row>
    <row r="74" spans="1:68" x14ac:dyDescent="0.25">
      <c r="A74" t="s">
        <v>597</v>
      </c>
      <c r="B74" t="s">
        <v>598</v>
      </c>
      <c r="C74" t="s">
        <v>599</v>
      </c>
      <c r="D74">
        <v>1687.29</v>
      </c>
      <c r="E74">
        <v>2081</v>
      </c>
      <c r="F74">
        <v>46066</v>
      </c>
      <c r="G74" t="s">
        <v>152</v>
      </c>
      <c r="H74" t="s">
        <v>373</v>
      </c>
      <c r="I74" t="s">
        <v>600</v>
      </c>
      <c r="J74" t="s">
        <v>306</v>
      </c>
      <c r="K74" t="s">
        <v>307</v>
      </c>
      <c r="L74">
        <v>46077</v>
      </c>
      <c r="M74">
        <v>46077</v>
      </c>
      <c r="N74">
        <v>46077</v>
      </c>
      <c r="O74" t="s">
        <v>375</v>
      </c>
      <c r="P74" t="s">
        <v>376</v>
      </c>
      <c r="Q74" t="s">
        <v>328</v>
      </c>
      <c r="R74" t="s">
        <v>310</v>
      </c>
      <c r="S74" t="s">
        <v>377</v>
      </c>
      <c r="T74" t="s">
        <v>584</v>
      </c>
      <c r="U74">
        <v>0</v>
      </c>
      <c r="V74">
        <v>1970</v>
      </c>
      <c r="W74">
        <v>0</v>
      </c>
      <c r="X74">
        <v>111</v>
      </c>
      <c r="Y74">
        <v>2081</v>
      </c>
      <c r="Z74">
        <v>0</v>
      </c>
      <c r="AA74" t="s">
        <v>204</v>
      </c>
      <c r="AB74">
        <v>2081</v>
      </c>
      <c r="AC74">
        <v>1500</v>
      </c>
      <c r="AD74">
        <v>1301.1000000000001</v>
      </c>
      <c r="AE74">
        <v>1301.1000000000001</v>
      </c>
      <c r="AF74">
        <v>0</v>
      </c>
      <c r="AG74">
        <v>0</v>
      </c>
      <c r="AH74" t="s">
        <v>312</v>
      </c>
      <c r="AI74" t="s">
        <v>312</v>
      </c>
      <c r="AJ74" t="s">
        <v>312</v>
      </c>
      <c r="AK74">
        <v>0</v>
      </c>
      <c r="AL74">
        <v>2081</v>
      </c>
      <c r="AM74">
        <v>1687</v>
      </c>
      <c r="AN74">
        <v>0</v>
      </c>
      <c r="AO74">
        <v>1687</v>
      </c>
      <c r="AP74">
        <v>0</v>
      </c>
      <c r="AQ74">
        <v>1301.1000000000001</v>
      </c>
      <c r="AR74">
        <v>1687</v>
      </c>
      <c r="AS74">
        <v>1301.1000000000001</v>
      </c>
      <c r="AT74">
        <v>0</v>
      </c>
      <c r="AU74">
        <v>46077</v>
      </c>
      <c r="AV74">
        <v>46090</v>
      </c>
      <c r="AW74" t="s">
        <v>204</v>
      </c>
      <c r="AX74">
        <v>394</v>
      </c>
      <c r="AY74">
        <v>0</v>
      </c>
      <c r="AZ74" t="s">
        <v>313</v>
      </c>
      <c r="BD74">
        <v>0</v>
      </c>
      <c r="BE74">
        <v>13</v>
      </c>
      <c r="BF74" t="s">
        <v>314</v>
      </c>
      <c r="BG74" t="s">
        <v>155</v>
      </c>
      <c r="BH74">
        <v>1687</v>
      </c>
      <c r="BI74">
        <v>46096</v>
      </c>
      <c r="BJ74">
        <v>19</v>
      </c>
      <c r="BK74">
        <v>0</v>
      </c>
      <c r="BN74">
        <v>1687</v>
      </c>
      <c r="BO74">
        <v>394</v>
      </c>
      <c r="BP74" t="str">
        <f t="shared" si="1"/>
        <v>TMEIPRAN</v>
      </c>
    </row>
    <row r="75" spans="1:68" x14ac:dyDescent="0.25">
      <c r="A75" t="s">
        <v>601</v>
      </c>
      <c r="B75" t="s">
        <v>602</v>
      </c>
      <c r="C75" t="s">
        <v>603</v>
      </c>
      <c r="D75">
        <v>1687.29</v>
      </c>
      <c r="E75">
        <v>2081</v>
      </c>
      <c r="F75">
        <v>46066</v>
      </c>
      <c r="G75" t="s">
        <v>152</v>
      </c>
      <c r="H75" t="s">
        <v>373</v>
      </c>
      <c r="I75" t="s">
        <v>604</v>
      </c>
      <c r="J75" t="s">
        <v>306</v>
      </c>
      <c r="K75" t="s">
        <v>307</v>
      </c>
      <c r="L75">
        <v>46077</v>
      </c>
      <c r="M75">
        <v>46077</v>
      </c>
      <c r="N75">
        <v>46077</v>
      </c>
      <c r="O75" t="s">
        <v>375</v>
      </c>
      <c r="P75" t="s">
        <v>376</v>
      </c>
      <c r="Q75" t="s">
        <v>328</v>
      </c>
      <c r="R75" t="s">
        <v>310</v>
      </c>
      <c r="S75" t="s">
        <v>377</v>
      </c>
      <c r="T75" t="s">
        <v>584</v>
      </c>
      <c r="U75">
        <v>0</v>
      </c>
      <c r="V75">
        <v>1970</v>
      </c>
      <c r="W75">
        <v>0</v>
      </c>
      <c r="X75">
        <v>111</v>
      </c>
      <c r="Y75">
        <v>2081</v>
      </c>
      <c r="Z75">
        <v>0</v>
      </c>
      <c r="AA75" t="s">
        <v>204</v>
      </c>
      <c r="AB75">
        <v>2081</v>
      </c>
      <c r="AC75">
        <v>1500</v>
      </c>
      <c r="AD75">
        <v>1301.1000000000001</v>
      </c>
      <c r="AE75">
        <v>1301.1000000000001</v>
      </c>
      <c r="AF75">
        <v>0</v>
      </c>
      <c r="AG75">
        <v>0</v>
      </c>
      <c r="AH75" t="s">
        <v>312</v>
      </c>
      <c r="AI75" t="s">
        <v>312</v>
      </c>
      <c r="AJ75" t="s">
        <v>312</v>
      </c>
      <c r="AK75">
        <v>0</v>
      </c>
      <c r="AL75">
        <v>2081</v>
      </c>
      <c r="AM75">
        <v>1687</v>
      </c>
      <c r="AN75">
        <v>0</v>
      </c>
      <c r="AO75">
        <v>1687</v>
      </c>
      <c r="AP75">
        <v>0</v>
      </c>
      <c r="AQ75">
        <v>1301.1000000000001</v>
      </c>
      <c r="AR75">
        <v>1687</v>
      </c>
      <c r="AS75">
        <v>1301.1000000000001</v>
      </c>
      <c r="AT75">
        <v>0</v>
      </c>
      <c r="AU75">
        <v>46077</v>
      </c>
      <c r="AV75">
        <v>46086</v>
      </c>
      <c r="AW75" t="s">
        <v>204</v>
      </c>
      <c r="AX75">
        <v>394</v>
      </c>
      <c r="AY75">
        <v>0</v>
      </c>
      <c r="AZ75" t="s">
        <v>313</v>
      </c>
      <c r="BD75">
        <v>0</v>
      </c>
      <c r="BE75">
        <v>9</v>
      </c>
      <c r="BF75" t="s">
        <v>314</v>
      </c>
      <c r="BG75" t="s">
        <v>155</v>
      </c>
      <c r="BH75">
        <v>1687</v>
      </c>
      <c r="BI75">
        <v>46087</v>
      </c>
      <c r="BJ75">
        <v>10</v>
      </c>
      <c r="BK75">
        <v>0</v>
      </c>
      <c r="BN75">
        <v>1687</v>
      </c>
      <c r="BO75">
        <v>394</v>
      </c>
      <c r="BP75" t="str">
        <f t="shared" si="1"/>
        <v>TMEIPRAN</v>
      </c>
    </row>
    <row r="76" spans="1:68" x14ac:dyDescent="0.25">
      <c r="A76" t="s">
        <v>605</v>
      </c>
      <c r="B76" t="s">
        <v>606</v>
      </c>
      <c r="C76" t="s">
        <v>607</v>
      </c>
      <c r="D76">
        <v>2932.56</v>
      </c>
      <c r="E76">
        <v>3804</v>
      </c>
      <c r="F76">
        <v>46066</v>
      </c>
      <c r="G76" t="s">
        <v>152</v>
      </c>
      <c r="H76" t="s">
        <v>608</v>
      </c>
      <c r="I76" t="s">
        <v>609</v>
      </c>
      <c r="J76" t="s">
        <v>306</v>
      </c>
      <c r="K76" t="s">
        <v>307</v>
      </c>
      <c r="L76">
        <v>46072</v>
      </c>
      <c r="M76">
        <v>46072</v>
      </c>
      <c r="N76">
        <v>46072</v>
      </c>
      <c r="O76" t="s">
        <v>395</v>
      </c>
      <c r="P76" t="s">
        <v>396</v>
      </c>
      <c r="Q76" t="s">
        <v>328</v>
      </c>
      <c r="R76" t="s">
        <v>310</v>
      </c>
      <c r="S76" t="s">
        <v>377</v>
      </c>
      <c r="T76" t="s">
        <v>482</v>
      </c>
      <c r="U76">
        <v>0</v>
      </c>
      <c r="V76">
        <v>3804</v>
      </c>
      <c r="W76">
        <v>0</v>
      </c>
      <c r="X76">
        <v>0</v>
      </c>
      <c r="Y76">
        <v>3804</v>
      </c>
      <c r="Z76">
        <v>0</v>
      </c>
      <c r="AA76" t="s">
        <v>204</v>
      </c>
      <c r="AB76">
        <v>3804</v>
      </c>
      <c r="AC76">
        <v>2400</v>
      </c>
      <c r="AD76">
        <v>2400</v>
      </c>
      <c r="AE76">
        <v>2400</v>
      </c>
      <c r="AF76">
        <v>0</v>
      </c>
      <c r="AG76">
        <v>0</v>
      </c>
      <c r="AH76" t="s">
        <v>312</v>
      </c>
      <c r="AI76" t="s">
        <v>312</v>
      </c>
      <c r="AJ76" t="s">
        <v>312</v>
      </c>
      <c r="AK76">
        <v>0</v>
      </c>
      <c r="AL76">
        <v>3804</v>
      </c>
      <c r="AM76">
        <v>3043.2000000000003</v>
      </c>
      <c r="AN76">
        <v>0</v>
      </c>
      <c r="AO76">
        <v>3043.2000000000003</v>
      </c>
      <c r="AP76">
        <v>2400</v>
      </c>
      <c r="AQ76">
        <v>2400</v>
      </c>
      <c r="AR76">
        <v>3043.2</v>
      </c>
      <c r="AS76">
        <v>2400</v>
      </c>
      <c r="AT76">
        <v>0</v>
      </c>
      <c r="AU76">
        <v>46072</v>
      </c>
      <c r="AV76">
        <v>46077</v>
      </c>
      <c r="AW76" t="s">
        <v>204</v>
      </c>
      <c r="AX76">
        <v>760.80000000000018</v>
      </c>
      <c r="AY76">
        <v>0</v>
      </c>
      <c r="AZ76" t="s">
        <v>313</v>
      </c>
      <c r="BD76">
        <v>0</v>
      </c>
      <c r="BE76">
        <v>5</v>
      </c>
      <c r="BF76" t="s">
        <v>314</v>
      </c>
      <c r="BG76" t="s">
        <v>155</v>
      </c>
      <c r="BH76">
        <v>3043.2000000000003</v>
      </c>
      <c r="BI76">
        <v>46087</v>
      </c>
      <c r="BJ76">
        <v>15</v>
      </c>
      <c r="BK76">
        <v>760.80000000000007</v>
      </c>
      <c r="BL76">
        <v>46230</v>
      </c>
      <c r="BM76">
        <v>158</v>
      </c>
      <c r="BN76">
        <v>3804.0000000000005</v>
      </c>
      <c r="BO76">
        <v>0</v>
      </c>
      <c r="BP76" t="str">
        <f t="shared" si="1"/>
        <v>TMEIPRAN</v>
      </c>
    </row>
    <row r="77" spans="1:68" x14ac:dyDescent="0.25">
      <c r="A77" t="s">
        <v>610</v>
      </c>
      <c r="B77" t="s">
        <v>611</v>
      </c>
      <c r="C77" t="s">
        <v>612</v>
      </c>
      <c r="D77">
        <v>3907.59</v>
      </c>
      <c r="E77">
        <v>5054.2</v>
      </c>
      <c r="F77">
        <v>46066</v>
      </c>
      <c r="G77" t="s">
        <v>152</v>
      </c>
      <c r="H77" t="s">
        <v>613</v>
      </c>
      <c r="I77" t="s">
        <v>614</v>
      </c>
      <c r="J77" t="s">
        <v>306</v>
      </c>
      <c r="K77" t="s">
        <v>307</v>
      </c>
      <c r="L77">
        <v>46077</v>
      </c>
      <c r="M77">
        <v>46077</v>
      </c>
      <c r="N77">
        <v>46077</v>
      </c>
      <c r="O77" t="s">
        <v>375</v>
      </c>
      <c r="P77" t="s">
        <v>376</v>
      </c>
      <c r="Q77" t="s">
        <v>328</v>
      </c>
      <c r="R77" t="s">
        <v>310</v>
      </c>
      <c r="S77" t="s">
        <v>310</v>
      </c>
      <c r="T77" t="s">
        <v>584</v>
      </c>
      <c r="U77">
        <v>0</v>
      </c>
      <c r="V77">
        <v>4711.2</v>
      </c>
      <c r="W77">
        <v>0</v>
      </c>
      <c r="X77">
        <v>343</v>
      </c>
      <c r="Y77">
        <v>5054.2</v>
      </c>
      <c r="Z77">
        <v>0</v>
      </c>
      <c r="AA77" t="s">
        <v>204</v>
      </c>
      <c r="AB77">
        <v>5054.2</v>
      </c>
      <c r="AC77">
        <v>3200</v>
      </c>
      <c r="AD77">
        <v>3199.82</v>
      </c>
      <c r="AE77">
        <v>3199.82</v>
      </c>
      <c r="AF77">
        <v>0</v>
      </c>
      <c r="AG77">
        <v>0</v>
      </c>
      <c r="AH77" t="s">
        <v>312</v>
      </c>
      <c r="AI77" t="s">
        <v>312</v>
      </c>
      <c r="AJ77" t="s">
        <v>312</v>
      </c>
      <c r="AK77">
        <v>0</v>
      </c>
      <c r="AL77">
        <v>5054.2</v>
      </c>
      <c r="AM77">
        <v>4111.96</v>
      </c>
      <c r="AN77">
        <v>0</v>
      </c>
      <c r="AO77">
        <v>4111.96</v>
      </c>
      <c r="AP77">
        <v>3200.2</v>
      </c>
      <c r="AQ77">
        <v>3200.2</v>
      </c>
      <c r="AR77">
        <v>4111.96</v>
      </c>
      <c r="AS77">
        <v>3200.2</v>
      </c>
      <c r="AT77">
        <v>0</v>
      </c>
      <c r="AU77">
        <v>46078</v>
      </c>
      <c r="AV77">
        <v>46079</v>
      </c>
      <c r="AW77" t="s">
        <v>204</v>
      </c>
      <c r="AX77">
        <v>942.23999999999978</v>
      </c>
      <c r="AY77">
        <v>-0.37999999999965439</v>
      </c>
      <c r="AZ77" t="s">
        <v>313</v>
      </c>
      <c r="BD77">
        <v>1</v>
      </c>
      <c r="BE77">
        <v>2</v>
      </c>
      <c r="BF77" t="s">
        <v>314</v>
      </c>
      <c r="BG77" t="s">
        <v>155</v>
      </c>
      <c r="BH77">
        <v>4111.96</v>
      </c>
      <c r="BI77">
        <v>46087</v>
      </c>
      <c r="BJ77">
        <v>10</v>
      </c>
      <c r="BK77">
        <v>942.24</v>
      </c>
      <c r="BL77">
        <v>46230</v>
      </c>
      <c r="BM77">
        <v>153</v>
      </c>
      <c r="BN77">
        <v>5054.2</v>
      </c>
      <c r="BO77">
        <v>0</v>
      </c>
      <c r="BP77" t="str">
        <f t="shared" si="1"/>
        <v>TMEIPRAN</v>
      </c>
    </row>
    <row r="78" spans="1:68" x14ac:dyDescent="0.25">
      <c r="A78" t="s">
        <v>615</v>
      </c>
      <c r="B78" t="s">
        <v>616</v>
      </c>
      <c r="C78" t="s">
        <v>617</v>
      </c>
      <c r="D78">
        <v>2932.56</v>
      </c>
      <c r="E78">
        <v>3804</v>
      </c>
      <c r="F78">
        <v>46095</v>
      </c>
      <c r="G78" t="s">
        <v>152</v>
      </c>
      <c r="H78" t="s">
        <v>608</v>
      </c>
      <c r="I78" t="s">
        <v>618</v>
      </c>
      <c r="J78" t="s">
        <v>306</v>
      </c>
      <c r="K78" t="s">
        <v>307</v>
      </c>
      <c r="L78">
        <v>46079</v>
      </c>
      <c r="M78">
        <v>46079</v>
      </c>
      <c r="N78">
        <v>46079</v>
      </c>
      <c r="O78" t="s">
        <v>395</v>
      </c>
      <c r="P78" t="s">
        <v>396</v>
      </c>
      <c r="Q78" t="s">
        <v>328</v>
      </c>
      <c r="R78" t="s">
        <v>310</v>
      </c>
      <c r="S78" t="s">
        <v>377</v>
      </c>
      <c r="T78" t="s">
        <v>584</v>
      </c>
      <c r="U78">
        <v>0</v>
      </c>
      <c r="V78">
        <v>3804</v>
      </c>
      <c r="W78">
        <v>0</v>
      </c>
      <c r="X78">
        <v>0</v>
      </c>
      <c r="Y78">
        <v>3804</v>
      </c>
      <c r="Z78">
        <v>0</v>
      </c>
      <c r="AA78" t="s">
        <v>204</v>
      </c>
      <c r="AB78">
        <v>3804</v>
      </c>
      <c r="AC78">
        <v>2400</v>
      </c>
      <c r="AD78">
        <v>2400</v>
      </c>
      <c r="AE78">
        <v>2400</v>
      </c>
      <c r="AF78">
        <v>0</v>
      </c>
      <c r="AG78">
        <v>0</v>
      </c>
      <c r="AH78" t="s">
        <v>312</v>
      </c>
      <c r="AI78" t="s">
        <v>312</v>
      </c>
      <c r="AJ78" t="s">
        <v>312</v>
      </c>
      <c r="AK78">
        <v>0</v>
      </c>
      <c r="AL78">
        <v>3804</v>
      </c>
      <c r="AM78">
        <v>3043.2000000000003</v>
      </c>
      <c r="AN78">
        <v>0</v>
      </c>
      <c r="AO78">
        <v>3043.2000000000003</v>
      </c>
      <c r="AP78">
        <v>2400</v>
      </c>
      <c r="AQ78">
        <v>2400</v>
      </c>
      <c r="AR78">
        <v>3043.2</v>
      </c>
      <c r="AS78">
        <v>2400</v>
      </c>
      <c r="AT78">
        <v>0</v>
      </c>
      <c r="AU78">
        <v>46079</v>
      </c>
      <c r="AV78">
        <v>46084</v>
      </c>
      <c r="AW78" t="s">
        <v>204</v>
      </c>
      <c r="AX78">
        <v>760.80000000000018</v>
      </c>
      <c r="AY78">
        <v>0</v>
      </c>
      <c r="AZ78" t="s">
        <v>313</v>
      </c>
      <c r="BD78">
        <v>0</v>
      </c>
      <c r="BE78">
        <v>5</v>
      </c>
      <c r="BF78" t="s">
        <v>314</v>
      </c>
      <c r="BG78" t="s">
        <v>155</v>
      </c>
      <c r="BH78">
        <v>3043.2000000000003</v>
      </c>
      <c r="BI78">
        <v>46087</v>
      </c>
      <c r="BJ78">
        <v>8</v>
      </c>
      <c r="BK78">
        <v>760.80000000000007</v>
      </c>
      <c r="BL78">
        <v>46230</v>
      </c>
      <c r="BM78">
        <v>151</v>
      </c>
      <c r="BN78">
        <v>3804.0000000000005</v>
      </c>
      <c r="BO78">
        <v>0</v>
      </c>
      <c r="BP78" t="str">
        <f t="shared" si="1"/>
        <v>TMEIPRAN</v>
      </c>
    </row>
    <row r="79" spans="1:68" x14ac:dyDescent="0.25">
      <c r="A79" t="s">
        <v>619</v>
      </c>
      <c r="B79" t="s">
        <v>620</v>
      </c>
      <c r="C79" t="s">
        <v>621</v>
      </c>
      <c r="D79">
        <v>2932.56</v>
      </c>
      <c r="E79">
        <v>3804</v>
      </c>
      <c r="F79">
        <v>46096</v>
      </c>
      <c r="G79" t="s">
        <v>152</v>
      </c>
      <c r="H79" t="s">
        <v>608</v>
      </c>
      <c r="I79" t="s">
        <v>622</v>
      </c>
      <c r="J79" t="s">
        <v>306</v>
      </c>
      <c r="K79" t="s">
        <v>307</v>
      </c>
      <c r="L79">
        <v>46078</v>
      </c>
      <c r="M79">
        <v>46078</v>
      </c>
      <c r="N79">
        <v>46078</v>
      </c>
      <c r="O79" t="s">
        <v>395</v>
      </c>
      <c r="P79" t="s">
        <v>396</v>
      </c>
      <c r="Q79" t="s">
        <v>328</v>
      </c>
      <c r="R79" t="s">
        <v>310</v>
      </c>
      <c r="S79" t="s">
        <v>377</v>
      </c>
      <c r="T79" t="s">
        <v>584</v>
      </c>
      <c r="U79">
        <v>0</v>
      </c>
      <c r="V79">
        <v>3804</v>
      </c>
      <c r="W79">
        <v>0</v>
      </c>
      <c r="X79">
        <v>0</v>
      </c>
      <c r="Y79">
        <v>3804</v>
      </c>
      <c r="Z79">
        <v>0</v>
      </c>
      <c r="AA79" t="s">
        <v>204</v>
      </c>
      <c r="AB79">
        <v>3804</v>
      </c>
      <c r="AC79">
        <v>2400</v>
      </c>
      <c r="AD79">
        <v>2400</v>
      </c>
      <c r="AE79">
        <v>2400</v>
      </c>
      <c r="AF79">
        <v>0</v>
      </c>
      <c r="AG79">
        <v>0</v>
      </c>
      <c r="AH79" t="s">
        <v>312</v>
      </c>
      <c r="AI79" t="s">
        <v>312</v>
      </c>
      <c r="AJ79" t="s">
        <v>312</v>
      </c>
      <c r="AK79">
        <v>0</v>
      </c>
      <c r="AL79">
        <v>3804</v>
      </c>
      <c r="AM79">
        <v>3043.2000000000003</v>
      </c>
      <c r="AN79">
        <v>0</v>
      </c>
      <c r="AO79">
        <v>3043.2000000000003</v>
      </c>
      <c r="AP79">
        <v>2400</v>
      </c>
      <c r="AQ79">
        <v>2400</v>
      </c>
      <c r="AR79">
        <v>3043.2</v>
      </c>
      <c r="AS79">
        <v>2400</v>
      </c>
      <c r="AT79">
        <v>0</v>
      </c>
      <c r="AU79">
        <v>46078</v>
      </c>
      <c r="AV79">
        <v>46084</v>
      </c>
      <c r="AW79" t="s">
        <v>204</v>
      </c>
      <c r="AX79">
        <v>760.80000000000018</v>
      </c>
      <c r="AY79">
        <v>0</v>
      </c>
      <c r="AZ79" t="s">
        <v>313</v>
      </c>
      <c r="BD79">
        <v>0</v>
      </c>
      <c r="BE79">
        <v>6</v>
      </c>
      <c r="BF79" t="s">
        <v>314</v>
      </c>
      <c r="BG79" t="s">
        <v>155</v>
      </c>
      <c r="BH79">
        <v>3043.2000000000003</v>
      </c>
      <c r="BI79">
        <v>46087</v>
      </c>
      <c r="BJ79">
        <v>9</v>
      </c>
      <c r="BK79">
        <v>760.80000000000007</v>
      </c>
      <c r="BL79">
        <v>46230</v>
      </c>
      <c r="BM79">
        <v>152</v>
      </c>
      <c r="BN79">
        <v>3804.0000000000005</v>
      </c>
      <c r="BO79">
        <v>0</v>
      </c>
      <c r="BP79" t="str">
        <f t="shared" si="1"/>
        <v>TMEIPRAN</v>
      </c>
    </row>
    <row r="80" spans="1:68" x14ac:dyDescent="0.25">
      <c r="A80" t="s">
        <v>623</v>
      </c>
      <c r="B80" t="s">
        <v>624</v>
      </c>
      <c r="C80" t="s">
        <v>625</v>
      </c>
      <c r="D80">
        <v>2932.56</v>
      </c>
      <c r="E80">
        <v>3804</v>
      </c>
      <c r="F80">
        <v>46097</v>
      </c>
      <c r="G80" t="s">
        <v>152</v>
      </c>
      <c r="H80" t="s">
        <v>608</v>
      </c>
      <c r="I80" t="s">
        <v>626</v>
      </c>
      <c r="J80" t="s">
        <v>306</v>
      </c>
      <c r="K80" t="s">
        <v>307</v>
      </c>
      <c r="L80">
        <v>46078</v>
      </c>
      <c r="M80">
        <v>46078</v>
      </c>
      <c r="N80">
        <v>46078</v>
      </c>
      <c r="O80" t="s">
        <v>395</v>
      </c>
      <c r="P80" t="s">
        <v>396</v>
      </c>
      <c r="Q80" t="s">
        <v>328</v>
      </c>
      <c r="R80" t="s">
        <v>310</v>
      </c>
      <c r="S80" t="s">
        <v>377</v>
      </c>
      <c r="T80" t="s">
        <v>584</v>
      </c>
      <c r="U80">
        <v>0</v>
      </c>
      <c r="V80">
        <v>3804</v>
      </c>
      <c r="W80">
        <v>0</v>
      </c>
      <c r="X80">
        <v>0</v>
      </c>
      <c r="Y80">
        <v>3804</v>
      </c>
      <c r="Z80">
        <v>0</v>
      </c>
      <c r="AA80" t="s">
        <v>204</v>
      </c>
      <c r="AB80">
        <v>3804</v>
      </c>
      <c r="AC80">
        <v>2400</v>
      </c>
      <c r="AD80">
        <v>2400</v>
      </c>
      <c r="AE80">
        <v>2400</v>
      </c>
      <c r="AF80">
        <v>0</v>
      </c>
      <c r="AG80">
        <v>0</v>
      </c>
      <c r="AH80" t="s">
        <v>312</v>
      </c>
      <c r="AI80" t="s">
        <v>312</v>
      </c>
      <c r="AJ80" t="s">
        <v>312</v>
      </c>
      <c r="AK80">
        <v>0</v>
      </c>
      <c r="AL80">
        <v>3804</v>
      </c>
      <c r="AM80">
        <v>3043.2000000000003</v>
      </c>
      <c r="AN80">
        <v>0</v>
      </c>
      <c r="AO80">
        <v>3043.2000000000003</v>
      </c>
      <c r="AP80">
        <v>2400</v>
      </c>
      <c r="AQ80">
        <v>2400</v>
      </c>
      <c r="AR80">
        <v>3043.2</v>
      </c>
      <c r="AS80">
        <v>2400</v>
      </c>
      <c r="AT80">
        <v>0</v>
      </c>
      <c r="AU80">
        <v>46078</v>
      </c>
      <c r="AV80">
        <v>46084</v>
      </c>
      <c r="AW80" t="s">
        <v>204</v>
      </c>
      <c r="AX80">
        <v>760.80000000000018</v>
      </c>
      <c r="AY80">
        <v>0</v>
      </c>
      <c r="AZ80" t="s">
        <v>313</v>
      </c>
      <c r="BD80">
        <v>0</v>
      </c>
      <c r="BE80">
        <v>6</v>
      </c>
      <c r="BF80" t="s">
        <v>314</v>
      </c>
      <c r="BG80" t="s">
        <v>155</v>
      </c>
      <c r="BH80">
        <v>3043.2000000000003</v>
      </c>
      <c r="BI80">
        <v>46087</v>
      </c>
      <c r="BJ80">
        <v>9</v>
      </c>
      <c r="BK80">
        <v>760.80000000000007</v>
      </c>
      <c r="BL80">
        <v>46230</v>
      </c>
      <c r="BM80">
        <v>152</v>
      </c>
      <c r="BN80">
        <v>3804.0000000000005</v>
      </c>
      <c r="BO80">
        <v>0</v>
      </c>
      <c r="BP80" t="str">
        <f t="shared" si="1"/>
        <v>TMEIPRAN</v>
      </c>
    </row>
    <row r="81" spans="1:68" x14ac:dyDescent="0.25">
      <c r="A81" t="s">
        <v>627</v>
      </c>
      <c r="B81" t="s">
        <v>628</v>
      </c>
      <c r="C81" t="s">
        <v>629</v>
      </c>
      <c r="D81">
        <v>2932.56</v>
      </c>
      <c r="E81">
        <v>3804</v>
      </c>
      <c r="F81">
        <v>46098</v>
      </c>
      <c r="G81" t="s">
        <v>152</v>
      </c>
      <c r="H81" t="s">
        <v>608</v>
      </c>
      <c r="I81" t="s">
        <v>630</v>
      </c>
      <c r="J81" t="s">
        <v>306</v>
      </c>
      <c r="K81" t="s">
        <v>307</v>
      </c>
      <c r="L81">
        <v>46083</v>
      </c>
      <c r="M81">
        <v>46083</v>
      </c>
      <c r="N81">
        <v>46083</v>
      </c>
      <c r="O81" t="s">
        <v>395</v>
      </c>
      <c r="P81" t="s">
        <v>396</v>
      </c>
      <c r="Q81" t="s">
        <v>328</v>
      </c>
      <c r="R81" t="s">
        <v>310</v>
      </c>
      <c r="S81" t="s">
        <v>377</v>
      </c>
      <c r="T81" t="s">
        <v>631</v>
      </c>
      <c r="U81">
        <v>0</v>
      </c>
      <c r="V81">
        <v>3804</v>
      </c>
      <c r="W81">
        <v>0</v>
      </c>
      <c r="X81">
        <v>0</v>
      </c>
      <c r="Y81">
        <v>3804</v>
      </c>
      <c r="Z81">
        <v>0</v>
      </c>
      <c r="AA81" t="s">
        <v>204</v>
      </c>
      <c r="AB81">
        <v>3804</v>
      </c>
      <c r="AC81">
        <v>2400</v>
      </c>
      <c r="AD81">
        <v>2400</v>
      </c>
      <c r="AE81">
        <v>2400</v>
      </c>
      <c r="AF81">
        <v>0</v>
      </c>
      <c r="AG81">
        <v>0</v>
      </c>
      <c r="AH81" t="s">
        <v>312</v>
      </c>
      <c r="AI81" t="s">
        <v>312</v>
      </c>
      <c r="AJ81" t="s">
        <v>312</v>
      </c>
      <c r="AK81">
        <v>0</v>
      </c>
      <c r="AL81">
        <v>3804</v>
      </c>
      <c r="AM81">
        <v>3043.2000000000003</v>
      </c>
      <c r="AN81">
        <v>0</v>
      </c>
      <c r="AO81">
        <v>3043.2000000000003</v>
      </c>
      <c r="AP81">
        <v>2400</v>
      </c>
      <c r="AQ81">
        <v>2400</v>
      </c>
      <c r="AR81">
        <v>3043.2</v>
      </c>
      <c r="AS81">
        <v>2400</v>
      </c>
      <c r="AT81">
        <v>0</v>
      </c>
      <c r="AU81">
        <v>46079</v>
      </c>
      <c r="AV81">
        <v>46085</v>
      </c>
      <c r="AW81" t="s">
        <v>204</v>
      </c>
      <c r="AX81">
        <v>760.80000000000018</v>
      </c>
      <c r="AY81">
        <v>0</v>
      </c>
      <c r="AZ81" t="s">
        <v>313</v>
      </c>
      <c r="BD81">
        <v>0</v>
      </c>
      <c r="BE81">
        <v>2</v>
      </c>
      <c r="BF81" t="s">
        <v>314</v>
      </c>
      <c r="BG81" t="s">
        <v>155</v>
      </c>
      <c r="BH81">
        <v>3043.2000000000003</v>
      </c>
      <c r="BI81">
        <v>46101</v>
      </c>
      <c r="BJ81">
        <v>18</v>
      </c>
      <c r="BK81">
        <v>760.80000000000007</v>
      </c>
      <c r="BL81">
        <v>46230</v>
      </c>
      <c r="BM81">
        <v>147</v>
      </c>
      <c r="BN81">
        <v>3804.0000000000005</v>
      </c>
      <c r="BO81">
        <v>0</v>
      </c>
      <c r="BP81" t="str">
        <f t="shared" si="1"/>
        <v>TMEIPRAN</v>
      </c>
    </row>
    <row r="82" spans="1:68" x14ac:dyDescent="0.25">
      <c r="A82" t="s">
        <v>632</v>
      </c>
      <c r="B82" t="s">
        <v>633</v>
      </c>
      <c r="C82" t="s">
        <v>634</v>
      </c>
      <c r="D82">
        <v>2932.56</v>
      </c>
      <c r="E82">
        <v>3804</v>
      </c>
      <c r="F82">
        <v>46099</v>
      </c>
      <c r="G82" t="s">
        <v>152</v>
      </c>
      <c r="H82" t="s">
        <v>608</v>
      </c>
      <c r="I82" t="s">
        <v>635</v>
      </c>
      <c r="J82" t="s">
        <v>306</v>
      </c>
      <c r="K82" t="s">
        <v>307</v>
      </c>
      <c r="L82">
        <v>46079</v>
      </c>
      <c r="M82">
        <v>46079</v>
      </c>
      <c r="N82">
        <v>46079</v>
      </c>
      <c r="O82" t="s">
        <v>395</v>
      </c>
      <c r="P82" t="s">
        <v>396</v>
      </c>
      <c r="Q82" t="s">
        <v>328</v>
      </c>
      <c r="R82" t="s">
        <v>310</v>
      </c>
      <c r="S82" t="s">
        <v>377</v>
      </c>
      <c r="T82" t="s">
        <v>584</v>
      </c>
      <c r="U82">
        <v>0</v>
      </c>
      <c r="V82">
        <v>3804</v>
      </c>
      <c r="W82">
        <v>0</v>
      </c>
      <c r="X82">
        <v>0</v>
      </c>
      <c r="Y82">
        <v>3804</v>
      </c>
      <c r="Z82">
        <v>0</v>
      </c>
      <c r="AA82" t="s">
        <v>204</v>
      </c>
      <c r="AB82">
        <v>3804</v>
      </c>
      <c r="AC82">
        <v>2400</v>
      </c>
      <c r="AD82">
        <v>2400</v>
      </c>
      <c r="AE82">
        <v>2400</v>
      </c>
      <c r="AF82">
        <v>0</v>
      </c>
      <c r="AG82">
        <v>0</v>
      </c>
      <c r="AH82" t="s">
        <v>312</v>
      </c>
      <c r="AI82" t="s">
        <v>312</v>
      </c>
      <c r="AJ82" t="s">
        <v>312</v>
      </c>
      <c r="AK82">
        <v>0</v>
      </c>
      <c r="AL82">
        <v>3804</v>
      </c>
      <c r="AM82">
        <v>3043.2000000000003</v>
      </c>
      <c r="AN82">
        <v>0</v>
      </c>
      <c r="AO82">
        <v>3043.2000000000003</v>
      </c>
      <c r="AP82">
        <v>2400</v>
      </c>
      <c r="AQ82">
        <v>2400</v>
      </c>
      <c r="AR82">
        <v>3043.2</v>
      </c>
      <c r="AS82">
        <v>2400</v>
      </c>
      <c r="AT82">
        <v>0</v>
      </c>
      <c r="AU82">
        <v>46079</v>
      </c>
      <c r="AV82">
        <v>46084</v>
      </c>
      <c r="AW82" t="s">
        <v>204</v>
      </c>
      <c r="AX82">
        <v>760.80000000000018</v>
      </c>
      <c r="AY82">
        <v>0</v>
      </c>
      <c r="AZ82" t="s">
        <v>313</v>
      </c>
      <c r="BD82">
        <v>0</v>
      </c>
      <c r="BE82">
        <v>5</v>
      </c>
      <c r="BF82" t="s">
        <v>314</v>
      </c>
      <c r="BG82" t="s">
        <v>155</v>
      </c>
      <c r="BH82">
        <v>3043.2000000000003</v>
      </c>
      <c r="BI82">
        <v>46087</v>
      </c>
      <c r="BJ82">
        <v>8</v>
      </c>
      <c r="BK82">
        <v>760.80000000000007</v>
      </c>
      <c r="BL82">
        <v>46230</v>
      </c>
      <c r="BM82">
        <v>151</v>
      </c>
      <c r="BN82">
        <v>3804.0000000000005</v>
      </c>
      <c r="BO82">
        <v>0</v>
      </c>
      <c r="BP82" t="str">
        <f t="shared" si="1"/>
        <v>TMEIPRAN</v>
      </c>
    </row>
    <row r="83" spans="1:68" x14ac:dyDescent="0.25">
      <c r="A83" t="s">
        <v>636</v>
      </c>
      <c r="B83" t="s">
        <v>637</v>
      </c>
      <c r="C83" t="s">
        <v>638</v>
      </c>
      <c r="D83">
        <v>2932.56</v>
      </c>
      <c r="E83">
        <v>3804</v>
      </c>
      <c r="F83">
        <v>46100</v>
      </c>
      <c r="G83" t="s">
        <v>152</v>
      </c>
      <c r="H83" t="s">
        <v>608</v>
      </c>
      <c r="I83" t="s">
        <v>639</v>
      </c>
      <c r="J83" t="s">
        <v>306</v>
      </c>
      <c r="K83" t="s">
        <v>307</v>
      </c>
      <c r="L83">
        <v>46079</v>
      </c>
      <c r="M83">
        <v>46079</v>
      </c>
      <c r="N83">
        <v>46079</v>
      </c>
      <c r="O83" t="s">
        <v>395</v>
      </c>
      <c r="P83" t="s">
        <v>396</v>
      </c>
      <c r="Q83" t="s">
        <v>328</v>
      </c>
      <c r="R83" t="s">
        <v>310</v>
      </c>
      <c r="S83" t="s">
        <v>377</v>
      </c>
      <c r="T83" t="s">
        <v>584</v>
      </c>
      <c r="U83">
        <v>0</v>
      </c>
      <c r="V83">
        <v>3804</v>
      </c>
      <c r="W83">
        <v>0</v>
      </c>
      <c r="X83">
        <v>0</v>
      </c>
      <c r="Y83">
        <v>3804</v>
      </c>
      <c r="Z83">
        <v>0</v>
      </c>
      <c r="AA83" t="s">
        <v>204</v>
      </c>
      <c r="AB83">
        <v>3804</v>
      </c>
      <c r="AC83">
        <v>2400</v>
      </c>
      <c r="AD83">
        <v>2400</v>
      </c>
      <c r="AE83">
        <v>2400</v>
      </c>
      <c r="AF83">
        <v>0</v>
      </c>
      <c r="AG83">
        <v>0</v>
      </c>
      <c r="AH83" t="s">
        <v>312</v>
      </c>
      <c r="AI83" t="s">
        <v>312</v>
      </c>
      <c r="AJ83" t="s">
        <v>312</v>
      </c>
      <c r="AK83">
        <v>0</v>
      </c>
      <c r="AL83">
        <v>3804</v>
      </c>
      <c r="AM83">
        <v>3043.2000000000003</v>
      </c>
      <c r="AN83">
        <v>0</v>
      </c>
      <c r="AO83">
        <v>3043.2000000000003</v>
      </c>
      <c r="AP83">
        <v>2400</v>
      </c>
      <c r="AQ83">
        <v>2400</v>
      </c>
      <c r="AR83">
        <v>3043.2</v>
      </c>
      <c r="AS83">
        <v>2400</v>
      </c>
      <c r="AT83">
        <v>0</v>
      </c>
      <c r="AU83">
        <v>46079</v>
      </c>
      <c r="AV83">
        <v>46085</v>
      </c>
      <c r="AW83" t="s">
        <v>204</v>
      </c>
      <c r="AX83">
        <v>760.80000000000018</v>
      </c>
      <c r="AY83">
        <v>0</v>
      </c>
      <c r="AZ83" t="s">
        <v>313</v>
      </c>
      <c r="BD83">
        <v>0</v>
      </c>
      <c r="BE83">
        <v>6</v>
      </c>
      <c r="BF83" t="s">
        <v>314</v>
      </c>
      <c r="BG83" t="s">
        <v>155</v>
      </c>
      <c r="BH83">
        <v>3043.2000000000003</v>
      </c>
      <c r="BI83">
        <v>46087</v>
      </c>
      <c r="BJ83">
        <v>8</v>
      </c>
      <c r="BK83">
        <v>760.80000000000007</v>
      </c>
      <c r="BL83">
        <v>46230</v>
      </c>
      <c r="BM83">
        <v>151</v>
      </c>
      <c r="BN83">
        <v>3804.0000000000005</v>
      </c>
      <c r="BO83">
        <v>0</v>
      </c>
      <c r="BP83" t="str">
        <f t="shared" si="1"/>
        <v>TMEIPRAN</v>
      </c>
    </row>
    <row r="84" spans="1:68" x14ac:dyDescent="0.25">
      <c r="A84" t="s">
        <v>640</v>
      </c>
      <c r="B84" t="s">
        <v>641</v>
      </c>
      <c r="C84" t="s">
        <v>642</v>
      </c>
      <c r="D84">
        <v>2932.56</v>
      </c>
      <c r="E84">
        <v>3804</v>
      </c>
      <c r="F84">
        <v>46101</v>
      </c>
      <c r="G84" t="s">
        <v>152</v>
      </c>
      <c r="H84" t="s">
        <v>608</v>
      </c>
      <c r="I84" t="s">
        <v>643</v>
      </c>
      <c r="J84" t="s">
        <v>306</v>
      </c>
      <c r="K84" t="s">
        <v>307</v>
      </c>
      <c r="L84">
        <v>46078</v>
      </c>
      <c r="M84">
        <v>46078</v>
      </c>
      <c r="N84">
        <v>46078</v>
      </c>
      <c r="O84" t="s">
        <v>395</v>
      </c>
      <c r="P84" t="s">
        <v>396</v>
      </c>
      <c r="Q84" t="s">
        <v>328</v>
      </c>
      <c r="R84" t="s">
        <v>310</v>
      </c>
      <c r="S84" t="s">
        <v>377</v>
      </c>
      <c r="T84" t="s">
        <v>584</v>
      </c>
      <c r="U84">
        <v>0</v>
      </c>
      <c r="V84">
        <v>3804</v>
      </c>
      <c r="W84">
        <v>0</v>
      </c>
      <c r="X84">
        <v>0</v>
      </c>
      <c r="Y84">
        <v>3804</v>
      </c>
      <c r="Z84">
        <v>0</v>
      </c>
      <c r="AA84" t="s">
        <v>204</v>
      </c>
      <c r="AB84">
        <v>3804</v>
      </c>
      <c r="AC84">
        <v>2400</v>
      </c>
      <c r="AD84">
        <v>2400</v>
      </c>
      <c r="AE84">
        <v>2400</v>
      </c>
      <c r="AF84">
        <v>0</v>
      </c>
      <c r="AG84">
        <v>0</v>
      </c>
      <c r="AH84" t="s">
        <v>312</v>
      </c>
      <c r="AI84" t="s">
        <v>312</v>
      </c>
      <c r="AJ84" t="s">
        <v>312</v>
      </c>
      <c r="AK84">
        <v>0</v>
      </c>
      <c r="AL84">
        <v>3804</v>
      </c>
      <c r="AM84">
        <v>3043.2000000000003</v>
      </c>
      <c r="AN84">
        <v>0</v>
      </c>
      <c r="AO84">
        <v>3043.2000000000003</v>
      </c>
      <c r="AP84">
        <v>2400</v>
      </c>
      <c r="AQ84">
        <v>2400</v>
      </c>
      <c r="AR84">
        <v>3043.2</v>
      </c>
      <c r="AS84">
        <v>2400</v>
      </c>
      <c r="AT84">
        <v>0</v>
      </c>
      <c r="AU84">
        <v>46078</v>
      </c>
      <c r="AV84">
        <v>46084</v>
      </c>
      <c r="AW84" t="s">
        <v>204</v>
      </c>
      <c r="AX84">
        <v>760.80000000000018</v>
      </c>
      <c r="AY84">
        <v>0</v>
      </c>
      <c r="AZ84" t="s">
        <v>313</v>
      </c>
      <c r="BD84">
        <v>0</v>
      </c>
      <c r="BE84">
        <v>6</v>
      </c>
      <c r="BF84" t="s">
        <v>314</v>
      </c>
      <c r="BG84" t="s">
        <v>155</v>
      </c>
      <c r="BH84">
        <v>3043.2000000000003</v>
      </c>
      <c r="BI84">
        <v>46087</v>
      </c>
      <c r="BJ84">
        <v>9</v>
      </c>
      <c r="BK84">
        <v>760.80000000000007</v>
      </c>
      <c r="BL84">
        <v>46230</v>
      </c>
      <c r="BM84">
        <v>152</v>
      </c>
      <c r="BN84">
        <v>3804.0000000000005</v>
      </c>
      <c r="BO84">
        <v>0</v>
      </c>
      <c r="BP84" t="str">
        <f t="shared" si="1"/>
        <v>TMEIPRAN</v>
      </c>
    </row>
    <row r="85" spans="1:68" x14ac:dyDescent="0.25">
      <c r="A85" t="s">
        <v>644</v>
      </c>
      <c r="B85" t="s">
        <v>645</v>
      </c>
      <c r="C85" t="s">
        <v>646</v>
      </c>
      <c r="D85">
        <v>2932.56</v>
      </c>
      <c r="E85">
        <v>3804</v>
      </c>
      <c r="F85">
        <v>46102</v>
      </c>
      <c r="G85" t="s">
        <v>152</v>
      </c>
      <c r="H85" t="s">
        <v>608</v>
      </c>
      <c r="I85" t="s">
        <v>647</v>
      </c>
      <c r="J85" t="s">
        <v>306</v>
      </c>
      <c r="K85" t="s">
        <v>307</v>
      </c>
      <c r="L85">
        <v>46078</v>
      </c>
      <c r="M85">
        <v>46078</v>
      </c>
      <c r="N85">
        <v>46078</v>
      </c>
      <c r="O85" t="s">
        <v>395</v>
      </c>
      <c r="P85" t="s">
        <v>396</v>
      </c>
      <c r="Q85" t="s">
        <v>328</v>
      </c>
      <c r="R85" t="s">
        <v>310</v>
      </c>
      <c r="S85" t="s">
        <v>377</v>
      </c>
      <c r="T85" t="s">
        <v>584</v>
      </c>
      <c r="U85">
        <v>0</v>
      </c>
      <c r="V85">
        <v>3804</v>
      </c>
      <c r="W85">
        <v>0</v>
      </c>
      <c r="X85">
        <v>0</v>
      </c>
      <c r="Y85">
        <v>3804</v>
      </c>
      <c r="Z85">
        <v>0</v>
      </c>
      <c r="AA85" t="s">
        <v>204</v>
      </c>
      <c r="AB85">
        <v>3804</v>
      </c>
      <c r="AC85">
        <v>2400</v>
      </c>
      <c r="AD85">
        <v>2400</v>
      </c>
      <c r="AE85">
        <v>2400</v>
      </c>
      <c r="AF85">
        <v>0</v>
      </c>
      <c r="AG85">
        <v>0</v>
      </c>
      <c r="AH85" t="s">
        <v>312</v>
      </c>
      <c r="AI85" t="s">
        <v>312</v>
      </c>
      <c r="AJ85" t="s">
        <v>312</v>
      </c>
      <c r="AK85">
        <v>0</v>
      </c>
      <c r="AL85">
        <v>3804</v>
      </c>
      <c r="AM85">
        <v>3043.2000000000003</v>
      </c>
      <c r="AN85">
        <v>0</v>
      </c>
      <c r="AO85">
        <v>3043.2000000000003</v>
      </c>
      <c r="AP85">
        <v>2400</v>
      </c>
      <c r="AQ85">
        <v>2400</v>
      </c>
      <c r="AR85">
        <v>3043.2</v>
      </c>
      <c r="AS85">
        <v>2400</v>
      </c>
      <c r="AT85">
        <v>0</v>
      </c>
      <c r="AU85">
        <v>46078</v>
      </c>
      <c r="AV85">
        <v>46084</v>
      </c>
      <c r="AW85" t="s">
        <v>204</v>
      </c>
      <c r="AX85">
        <v>760.80000000000018</v>
      </c>
      <c r="AY85">
        <v>0</v>
      </c>
      <c r="AZ85" t="s">
        <v>313</v>
      </c>
      <c r="BD85">
        <v>0</v>
      </c>
      <c r="BE85">
        <v>6</v>
      </c>
      <c r="BF85" t="s">
        <v>314</v>
      </c>
      <c r="BG85" t="s">
        <v>155</v>
      </c>
      <c r="BH85">
        <v>3043.2000000000003</v>
      </c>
      <c r="BI85">
        <v>46087</v>
      </c>
      <c r="BJ85">
        <v>9</v>
      </c>
      <c r="BK85">
        <v>760.80000000000007</v>
      </c>
      <c r="BL85">
        <v>46230</v>
      </c>
      <c r="BM85">
        <v>152</v>
      </c>
      <c r="BN85">
        <v>3804.0000000000005</v>
      </c>
      <c r="BO85">
        <v>0</v>
      </c>
      <c r="BP85" t="str">
        <f t="shared" si="1"/>
        <v>TMEIPRAN</v>
      </c>
    </row>
    <row r="86" spans="1:68" x14ac:dyDescent="0.25">
      <c r="A86" t="s">
        <v>648</v>
      </c>
      <c r="B86" t="s">
        <v>649</v>
      </c>
      <c r="C86" t="s">
        <v>650</v>
      </c>
      <c r="D86">
        <v>2932.56</v>
      </c>
      <c r="E86">
        <v>3804</v>
      </c>
      <c r="F86">
        <v>46104</v>
      </c>
      <c r="G86" t="s">
        <v>152</v>
      </c>
      <c r="H86" t="s">
        <v>608</v>
      </c>
      <c r="I86" t="s">
        <v>651</v>
      </c>
      <c r="J86" t="s">
        <v>306</v>
      </c>
      <c r="K86" t="s">
        <v>307</v>
      </c>
      <c r="L86">
        <v>46079</v>
      </c>
      <c r="M86">
        <v>46079</v>
      </c>
      <c r="N86">
        <v>46079</v>
      </c>
      <c r="O86" t="s">
        <v>395</v>
      </c>
      <c r="P86" t="s">
        <v>396</v>
      </c>
      <c r="Q86" t="s">
        <v>328</v>
      </c>
      <c r="R86" t="s">
        <v>310</v>
      </c>
      <c r="S86" t="s">
        <v>377</v>
      </c>
      <c r="T86" t="s">
        <v>584</v>
      </c>
      <c r="U86">
        <v>0</v>
      </c>
      <c r="V86">
        <v>3804</v>
      </c>
      <c r="W86">
        <v>0</v>
      </c>
      <c r="X86">
        <v>0</v>
      </c>
      <c r="Y86">
        <v>3804</v>
      </c>
      <c r="Z86">
        <v>0</v>
      </c>
      <c r="AA86" t="s">
        <v>204</v>
      </c>
      <c r="AB86">
        <v>3804</v>
      </c>
      <c r="AC86">
        <v>2400</v>
      </c>
      <c r="AD86">
        <v>2400</v>
      </c>
      <c r="AE86">
        <v>2400</v>
      </c>
      <c r="AF86">
        <v>0</v>
      </c>
      <c r="AG86">
        <v>0</v>
      </c>
      <c r="AH86" t="s">
        <v>312</v>
      </c>
      <c r="AI86" t="s">
        <v>312</v>
      </c>
      <c r="AJ86" t="s">
        <v>312</v>
      </c>
      <c r="AK86">
        <v>0</v>
      </c>
      <c r="AL86">
        <v>3804</v>
      </c>
      <c r="AM86">
        <v>3043.2000000000003</v>
      </c>
      <c r="AN86">
        <v>0</v>
      </c>
      <c r="AO86">
        <v>3043.2000000000003</v>
      </c>
      <c r="AP86">
        <v>2400</v>
      </c>
      <c r="AQ86">
        <v>2400</v>
      </c>
      <c r="AR86">
        <v>3043.2</v>
      </c>
      <c r="AS86">
        <v>2400</v>
      </c>
      <c r="AT86">
        <v>0</v>
      </c>
      <c r="AU86">
        <v>46079</v>
      </c>
      <c r="AV86">
        <v>46085</v>
      </c>
      <c r="AW86" t="s">
        <v>204</v>
      </c>
      <c r="AX86">
        <v>760.80000000000018</v>
      </c>
      <c r="AY86">
        <v>0</v>
      </c>
      <c r="AZ86" t="s">
        <v>313</v>
      </c>
      <c r="BD86">
        <v>0</v>
      </c>
      <c r="BE86">
        <v>6</v>
      </c>
      <c r="BF86" t="s">
        <v>314</v>
      </c>
      <c r="BG86" t="s">
        <v>155</v>
      </c>
      <c r="BH86">
        <v>3043.2000000000003</v>
      </c>
      <c r="BI86">
        <v>46087</v>
      </c>
      <c r="BJ86">
        <v>8</v>
      </c>
      <c r="BK86">
        <v>760.80000000000007</v>
      </c>
      <c r="BL86">
        <v>46230</v>
      </c>
      <c r="BM86">
        <v>151</v>
      </c>
      <c r="BN86">
        <v>3804.0000000000005</v>
      </c>
      <c r="BO86">
        <v>0</v>
      </c>
      <c r="BP86" t="str">
        <f t="shared" si="1"/>
        <v>TMEIPRAN</v>
      </c>
    </row>
    <row r="87" spans="1:68" x14ac:dyDescent="0.25">
      <c r="A87" t="s">
        <v>652</v>
      </c>
      <c r="B87" t="s">
        <v>653</v>
      </c>
      <c r="C87" t="s">
        <v>654</v>
      </c>
      <c r="D87">
        <v>2932.56</v>
      </c>
      <c r="E87">
        <v>3804</v>
      </c>
      <c r="F87">
        <v>46105</v>
      </c>
      <c r="G87" t="s">
        <v>152</v>
      </c>
      <c r="H87" t="s">
        <v>608</v>
      </c>
      <c r="I87" t="s">
        <v>655</v>
      </c>
      <c r="J87" t="s">
        <v>306</v>
      </c>
      <c r="K87" t="s">
        <v>307</v>
      </c>
      <c r="L87">
        <v>46078</v>
      </c>
      <c r="M87">
        <v>46078</v>
      </c>
      <c r="N87">
        <v>46078</v>
      </c>
      <c r="O87" t="s">
        <v>395</v>
      </c>
      <c r="P87" t="s">
        <v>396</v>
      </c>
      <c r="Q87" t="s">
        <v>328</v>
      </c>
      <c r="R87" t="s">
        <v>310</v>
      </c>
      <c r="S87" t="s">
        <v>377</v>
      </c>
      <c r="T87" t="s">
        <v>584</v>
      </c>
      <c r="U87">
        <v>0</v>
      </c>
      <c r="V87">
        <v>3804</v>
      </c>
      <c r="W87">
        <v>0</v>
      </c>
      <c r="X87">
        <v>0</v>
      </c>
      <c r="Y87">
        <v>3804</v>
      </c>
      <c r="Z87">
        <v>0</v>
      </c>
      <c r="AA87" t="s">
        <v>204</v>
      </c>
      <c r="AB87">
        <v>3804</v>
      </c>
      <c r="AC87">
        <v>2400</v>
      </c>
      <c r="AD87">
        <v>2400</v>
      </c>
      <c r="AE87">
        <v>2400</v>
      </c>
      <c r="AF87">
        <v>0</v>
      </c>
      <c r="AG87">
        <v>0</v>
      </c>
      <c r="AH87" t="s">
        <v>312</v>
      </c>
      <c r="AI87" t="s">
        <v>312</v>
      </c>
      <c r="AJ87" t="s">
        <v>312</v>
      </c>
      <c r="AK87">
        <v>0</v>
      </c>
      <c r="AL87">
        <v>3804</v>
      </c>
      <c r="AM87">
        <v>3043.2000000000003</v>
      </c>
      <c r="AN87">
        <v>0</v>
      </c>
      <c r="AO87">
        <v>3043.2000000000003</v>
      </c>
      <c r="AP87">
        <v>2400</v>
      </c>
      <c r="AQ87">
        <v>2400</v>
      </c>
      <c r="AR87">
        <v>3043.2</v>
      </c>
      <c r="AS87">
        <v>2400</v>
      </c>
      <c r="AT87">
        <v>0</v>
      </c>
      <c r="AU87">
        <v>46078</v>
      </c>
      <c r="AV87">
        <v>46084</v>
      </c>
      <c r="AW87" t="s">
        <v>204</v>
      </c>
      <c r="AX87">
        <v>760.80000000000018</v>
      </c>
      <c r="AY87">
        <v>0</v>
      </c>
      <c r="AZ87" t="s">
        <v>313</v>
      </c>
      <c r="BD87">
        <v>0</v>
      </c>
      <c r="BE87">
        <v>6</v>
      </c>
      <c r="BF87" t="s">
        <v>314</v>
      </c>
      <c r="BG87" t="s">
        <v>155</v>
      </c>
      <c r="BH87">
        <v>3043.2000000000003</v>
      </c>
      <c r="BI87">
        <v>46087</v>
      </c>
      <c r="BJ87">
        <v>9</v>
      </c>
      <c r="BK87">
        <v>760.80000000000007</v>
      </c>
      <c r="BL87">
        <v>46230</v>
      </c>
      <c r="BM87">
        <v>152</v>
      </c>
      <c r="BN87">
        <v>3804.0000000000005</v>
      </c>
      <c r="BO87">
        <v>0</v>
      </c>
      <c r="BP87" t="str">
        <f t="shared" si="1"/>
        <v>TMEIPRAN</v>
      </c>
    </row>
    <row r="88" spans="1:68" x14ac:dyDescent="0.25">
      <c r="A88" t="s">
        <v>656</v>
      </c>
      <c r="B88" t="s">
        <v>657</v>
      </c>
      <c r="C88" t="s">
        <v>658</v>
      </c>
      <c r="D88">
        <v>2932.56</v>
      </c>
      <c r="E88">
        <v>3804</v>
      </c>
      <c r="F88">
        <v>46106</v>
      </c>
      <c r="G88" t="s">
        <v>152</v>
      </c>
      <c r="H88" t="s">
        <v>608</v>
      </c>
      <c r="I88" t="s">
        <v>659</v>
      </c>
      <c r="J88" t="s">
        <v>306</v>
      </c>
      <c r="K88" t="s">
        <v>307</v>
      </c>
      <c r="L88">
        <v>46078</v>
      </c>
      <c r="M88">
        <v>46078</v>
      </c>
      <c r="N88">
        <v>46078</v>
      </c>
      <c r="O88" t="s">
        <v>395</v>
      </c>
      <c r="P88" t="s">
        <v>396</v>
      </c>
      <c r="Q88" t="s">
        <v>328</v>
      </c>
      <c r="R88" t="s">
        <v>310</v>
      </c>
      <c r="S88" t="s">
        <v>377</v>
      </c>
      <c r="T88" t="s">
        <v>584</v>
      </c>
      <c r="U88">
        <v>0</v>
      </c>
      <c r="V88">
        <v>3804</v>
      </c>
      <c r="W88">
        <v>0</v>
      </c>
      <c r="X88">
        <v>0</v>
      </c>
      <c r="Y88">
        <v>3804</v>
      </c>
      <c r="Z88">
        <v>0</v>
      </c>
      <c r="AA88" t="s">
        <v>204</v>
      </c>
      <c r="AB88">
        <v>3804</v>
      </c>
      <c r="AC88">
        <v>2400</v>
      </c>
      <c r="AD88">
        <v>2400</v>
      </c>
      <c r="AE88">
        <v>2400</v>
      </c>
      <c r="AF88">
        <v>0</v>
      </c>
      <c r="AG88">
        <v>0</v>
      </c>
      <c r="AH88" t="s">
        <v>312</v>
      </c>
      <c r="AI88" t="s">
        <v>312</v>
      </c>
      <c r="AJ88" t="s">
        <v>312</v>
      </c>
      <c r="AK88">
        <v>0</v>
      </c>
      <c r="AL88">
        <v>3804</v>
      </c>
      <c r="AM88">
        <v>3043.2000000000003</v>
      </c>
      <c r="AN88">
        <v>0</v>
      </c>
      <c r="AO88">
        <v>3043.2000000000003</v>
      </c>
      <c r="AP88">
        <v>2400</v>
      </c>
      <c r="AQ88">
        <v>2400</v>
      </c>
      <c r="AR88">
        <v>3043.2</v>
      </c>
      <c r="AS88">
        <v>2400</v>
      </c>
      <c r="AT88">
        <v>0</v>
      </c>
      <c r="AU88">
        <v>46078</v>
      </c>
      <c r="AV88">
        <v>46093</v>
      </c>
      <c r="AW88" t="s">
        <v>204</v>
      </c>
      <c r="AX88">
        <v>760.80000000000018</v>
      </c>
      <c r="AY88">
        <v>0</v>
      </c>
      <c r="AZ88" t="s">
        <v>313</v>
      </c>
      <c r="BD88">
        <v>0</v>
      </c>
      <c r="BE88">
        <v>15</v>
      </c>
      <c r="BF88" t="s">
        <v>314</v>
      </c>
      <c r="BG88" t="s">
        <v>155</v>
      </c>
      <c r="BH88">
        <v>3043.2000000000003</v>
      </c>
      <c r="BI88">
        <v>46101</v>
      </c>
      <c r="BJ88">
        <v>23</v>
      </c>
      <c r="BK88">
        <v>760.80000000000007</v>
      </c>
      <c r="BL88">
        <v>46230</v>
      </c>
      <c r="BM88">
        <v>152</v>
      </c>
      <c r="BN88">
        <v>3804.0000000000005</v>
      </c>
      <c r="BO88">
        <v>0</v>
      </c>
      <c r="BP88" t="str">
        <f t="shared" si="1"/>
        <v>TMEIPRAN</v>
      </c>
    </row>
    <row r="89" spans="1:68" x14ac:dyDescent="0.25">
      <c r="A89" t="s">
        <v>660</v>
      </c>
      <c r="B89" t="s">
        <v>661</v>
      </c>
      <c r="C89" t="s">
        <v>662</v>
      </c>
      <c r="D89">
        <v>2932.56</v>
      </c>
      <c r="E89">
        <v>3804</v>
      </c>
      <c r="F89">
        <v>46107</v>
      </c>
      <c r="G89" t="s">
        <v>152</v>
      </c>
      <c r="H89" t="s">
        <v>608</v>
      </c>
      <c r="I89" t="s">
        <v>663</v>
      </c>
      <c r="J89" t="s">
        <v>306</v>
      </c>
      <c r="K89" t="s">
        <v>307</v>
      </c>
      <c r="L89">
        <v>46079</v>
      </c>
      <c r="M89">
        <v>46079</v>
      </c>
      <c r="N89">
        <v>46079</v>
      </c>
      <c r="O89" t="s">
        <v>395</v>
      </c>
      <c r="P89" t="s">
        <v>396</v>
      </c>
      <c r="Q89" t="s">
        <v>328</v>
      </c>
      <c r="R89" t="s">
        <v>310</v>
      </c>
      <c r="S89" t="s">
        <v>377</v>
      </c>
      <c r="T89" t="s">
        <v>584</v>
      </c>
      <c r="U89">
        <v>0</v>
      </c>
      <c r="V89">
        <v>3804</v>
      </c>
      <c r="W89">
        <v>0</v>
      </c>
      <c r="X89">
        <v>0</v>
      </c>
      <c r="Y89">
        <v>3804</v>
      </c>
      <c r="Z89">
        <v>0</v>
      </c>
      <c r="AA89" t="s">
        <v>204</v>
      </c>
      <c r="AB89">
        <v>3804</v>
      </c>
      <c r="AC89">
        <v>2400</v>
      </c>
      <c r="AD89">
        <v>2400</v>
      </c>
      <c r="AE89">
        <v>2400</v>
      </c>
      <c r="AF89">
        <v>0</v>
      </c>
      <c r="AG89">
        <v>0</v>
      </c>
      <c r="AH89" t="s">
        <v>312</v>
      </c>
      <c r="AI89" t="s">
        <v>312</v>
      </c>
      <c r="AJ89" t="s">
        <v>312</v>
      </c>
      <c r="AK89">
        <v>0</v>
      </c>
      <c r="AL89">
        <v>3804</v>
      </c>
      <c r="AM89">
        <v>3043.2000000000003</v>
      </c>
      <c r="AN89">
        <v>0</v>
      </c>
      <c r="AO89">
        <v>3043.2000000000003</v>
      </c>
      <c r="AP89">
        <v>2400</v>
      </c>
      <c r="AQ89">
        <v>2400</v>
      </c>
      <c r="AR89">
        <v>3043.2</v>
      </c>
      <c r="AS89">
        <v>2400</v>
      </c>
      <c r="AT89">
        <v>0</v>
      </c>
      <c r="AU89">
        <v>46079</v>
      </c>
      <c r="AV89">
        <v>46085</v>
      </c>
      <c r="AW89" t="s">
        <v>204</v>
      </c>
      <c r="AX89">
        <v>760.80000000000018</v>
      </c>
      <c r="AY89">
        <v>0</v>
      </c>
      <c r="AZ89" t="s">
        <v>313</v>
      </c>
      <c r="BD89">
        <v>0</v>
      </c>
      <c r="BE89">
        <v>6</v>
      </c>
      <c r="BF89" t="s">
        <v>314</v>
      </c>
      <c r="BG89" t="s">
        <v>155</v>
      </c>
      <c r="BH89">
        <v>3043.2000000000003</v>
      </c>
      <c r="BI89">
        <v>46087</v>
      </c>
      <c r="BJ89">
        <v>8</v>
      </c>
      <c r="BK89">
        <v>760.80000000000007</v>
      </c>
      <c r="BL89">
        <v>46230</v>
      </c>
      <c r="BM89">
        <v>151</v>
      </c>
      <c r="BN89">
        <v>3804.0000000000005</v>
      </c>
      <c r="BO89">
        <v>0</v>
      </c>
      <c r="BP89" t="str">
        <f t="shared" si="1"/>
        <v>TMEIPRAN</v>
      </c>
    </row>
    <row r="90" spans="1:68" x14ac:dyDescent="0.25">
      <c r="A90" t="s">
        <v>664</v>
      </c>
      <c r="B90" t="s">
        <v>665</v>
      </c>
      <c r="C90" t="s">
        <v>666</v>
      </c>
      <c r="D90">
        <v>2932.56</v>
      </c>
      <c r="E90">
        <v>3804</v>
      </c>
      <c r="F90">
        <v>46110</v>
      </c>
      <c r="G90" t="s">
        <v>152</v>
      </c>
      <c r="H90" t="s">
        <v>608</v>
      </c>
      <c r="I90" t="s">
        <v>667</v>
      </c>
      <c r="J90" t="s">
        <v>306</v>
      </c>
      <c r="K90" t="s">
        <v>307</v>
      </c>
      <c r="L90">
        <v>46078</v>
      </c>
      <c r="M90">
        <v>46078</v>
      </c>
      <c r="N90">
        <v>46078</v>
      </c>
      <c r="O90" t="s">
        <v>395</v>
      </c>
      <c r="P90" t="s">
        <v>396</v>
      </c>
      <c r="Q90" t="s">
        <v>328</v>
      </c>
      <c r="R90" t="s">
        <v>310</v>
      </c>
      <c r="S90" t="s">
        <v>377</v>
      </c>
      <c r="T90" t="s">
        <v>584</v>
      </c>
      <c r="U90">
        <v>0</v>
      </c>
      <c r="V90">
        <v>3804</v>
      </c>
      <c r="W90">
        <v>0</v>
      </c>
      <c r="X90">
        <v>0</v>
      </c>
      <c r="Y90">
        <v>3804</v>
      </c>
      <c r="Z90">
        <v>0</v>
      </c>
      <c r="AA90" t="s">
        <v>204</v>
      </c>
      <c r="AB90">
        <v>3804</v>
      </c>
      <c r="AC90">
        <v>2400</v>
      </c>
      <c r="AD90">
        <v>2400</v>
      </c>
      <c r="AE90">
        <v>2400</v>
      </c>
      <c r="AF90">
        <v>0</v>
      </c>
      <c r="AG90">
        <v>0</v>
      </c>
      <c r="AH90" t="s">
        <v>312</v>
      </c>
      <c r="AI90" t="s">
        <v>312</v>
      </c>
      <c r="AJ90" t="s">
        <v>312</v>
      </c>
      <c r="AK90">
        <v>0</v>
      </c>
      <c r="AL90">
        <v>3804</v>
      </c>
      <c r="AM90">
        <v>3043.2000000000003</v>
      </c>
      <c r="AN90">
        <v>0</v>
      </c>
      <c r="AO90">
        <v>3043.2000000000003</v>
      </c>
      <c r="AP90">
        <v>2400</v>
      </c>
      <c r="AQ90">
        <v>2400</v>
      </c>
      <c r="AR90">
        <v>3043.2</v>
      </c>
      <c r="AS90">
        <v>2400</v>
      </c>
      <c r="AT90">
        <v>0</v>
      </c>
      <c r="AU90">
        <v>46079</v>
      </c>
      <c r="AV90">
        <v>46084</v>
      </c>
      <c r="AW90" t="s">
        <v>204</v>
      </c>
      <c r="AX90">
        <v>760.80000000000018</v>
      </c>
      <c r="AY90">
        <v>0</v>
      </c>
      <c r="AZ90" t="s">
        <v>313</v>
      </c>
      <c r="BD90">
        <v>1</v>
      </c>
      <c r="BE90">
        <v>6</v>
      </c>
      <c r="BF90" t="s">
        <v>314</v>
      </c>
      <c r="BG90" t="s">
        <v>155</v>
      </c>
      <c r="BH90">
        <v>3043.2000000000003</v>
      </c>
      <c r="BI90">
        <v>46087</v>
      </c>
      <c r="BJ90">
        <v>9</v>
      </c>
      <c r="BK90">
        <v>760.80000000000007</v>
      </c>
      <c r="BL90">
        <v>46230</v>
      </c>
      <c r="BM90">
        <v>152</v>
      </c>
      <c r="BN90">
        <v>3804.0000000000005</v>
      </c>
      <c r="BO90">
        <v>0</v>
      </c>
      <c r="BP90" t="str">
        <f t="shared" si="1"/>
        <v>TMEIPRAN</v>
      </c>
    </row>
    <row r="91" spans="1:68" x14ac:dyDescent="0.25">
      <c r="A91" t="s">
        <v>668</v>
      </c>
      <c r="B91" t="s">
        <v>669</v>
      </c>
      <c r="C91" t="s">
        <v>670</v>
      </c>
      <c r="D91">
        <v>12583.72</v>
      </c>
      <c r="E91">
        <v>15346</v>
      </c>
      <c r="F91">
        <v>46066</v>
      </c>
      <c r="G91" t="s">
        <v>159</v>
      </c>
      <c r="H91" t="s">
        <v>304</v>
      </c>
      <c r="I91" t="s">
        <v>671</v>
      </c>
      <c r="J91" t="s">
        <v>306</v>
      </c>
      <c r="K91" t="s">
        <v>307</v>
      </c>
      <c r="L91" t="s">
        <v>204</v>
      </c>
      <c r="M91" t="s">
        <v>204</v>
      </c>
      <c r="O91" t="s">
        <v>318</v>
      </c>
      <c r="P91" t="s">
        <v>204</v>
      </c>
      <c r="Q91" t="s">
        <v>672</v>
      </c>
      <c r="R91" t="s">
        <v>672</v>
      </c>
      <c r="S91" t="s">
        <v>672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204</v>
      </c>
      <c r="AB91">
        <v>0</v>
      </c>
      <c r="AC91">
        <v>9514.52</v>
      </c>
      <c r="AD91">
        <v>0</v>
      </c>
      <c r="AE91">
        <v>0</v>
      </c>
      <c r="AF91">
        <v>0</v>
      </c>
      <c r="AG91">
        <v>0</v>
      </c>
      <c r="AH91" t="s">
        <v>204</v>
      </c>
      <c r="AI91" t="s">
        <v>204</v>
      </c>
      <c r="AJ91" t="s">
        <v>204</v>
      </c>
      <c r="AK91">
        <v>793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204</v>
      </c>
      <c r="AV91" t="s">
        <v>204</v>
      </c>
      <c r="AW91" t="s">
        <v>204</v>
      </c>
      <c r="AX91">
        <v>0</v>
      </c>
      <c r="AY91">
        <v>0</v>
      </c>
      <c r="AZ91" t="s">
        <v>204</v>
      </c>
      <c r="BF91" t="s">
        <v>672</v>
      </c>
      <c r="BG91" t="s">
        <v>672</v>
      </c>
      <c r="BH91">
        <v>793</v>
      </c>
      <c r="BK91">
        <v>0</v>
      </c>
      <c r="BN91">
        <v>793</v>
      </c>
      <c r="BO91">
        <v>0</v>
      </c>
      <c r="BP91" t="str">
        <f t="shared" si="1"/>
        <v>HAECANCEL</v>
      </c>
    </row>
    <row r="92" spans="1:68" x14ac:dyDescent="0.25">
      <c r="A92" t="s">
        <v>673</v>
      </c>
      <c r="B92" t="s">
        <v>674</v>
      </c>
      <c r="C92" t="s">
        <v>675</v>
      </c>
      <c r="D92">
        <v>3417.82</v>
      </c>
      <c r="E92">
        <v>4413</v>
      </c>
      <c r="F92">
        <v>46111</v>
      </c>
      <c r="G92" t="s">
        <v>152</v>
      </c>
      <c r="H92" t="s">
        <v>676</v>
      </c>
      <c r="I92" t="s">
        <v>677</v>
      </c>
      <c r="J92" t="s">
        <v>306</v>
      </c>
      <c r="K92" t="s">
        <v>307</v>
      </c>
      <c r="L92">
        <v>46087</v>
      </c>
      <c r="M92">
        <v>46087</v>
      </c>
      <c r="N92">
        <v>46087</v>
      </c>
      <c r="O92" t="s">
        <v>395</v>
      </c>
      <c r="P92" t="s">
        <v>396</v>
      </c>
      <c r="Q92" t="s">
        <v>328</v>
      </c>
      <c r="R92" t="s">
        <v>310</v>
      </c>
      <c r="S92" t="s">
        <v>310</v>
      </c>
      <c r="T92" t="s">
        <v>631</v>
      </c>
      <c r="U92">
        <v>0</v>
      </c>
      <c r="V92">
        <v>4413</v>
      </c>
      <c r="W92">
        <v>0</v>
      </c>
      <c r="X92">
        <v>0</v>
      </c>
      <c r="Y92">
        <v>4413</v>
      </c>
      <c r="Z92">
        <v>0</v>
      </c>
      <c r="AA92" t="s">
        <v>204</v>
      </c>
      <c r="AB92">
        <v>4413</v>
      </c>
      <c r="AC92">
        <v>2800</v>
      </c>
      <c r="AD92">
        <v>2800</v>
      </c>
      <c r="AE92">
        <v>2800</v>
      </c>
      <c r="AF92">
        <v>0</v>
      </c>
      <c r="AG92">
        <v>0</v>
      </c>
      <c r="AH92" t="s">
        <v>312</v>
      </c>
      <c r="AI92" t="s">
        <v>312</v>
      </c>
      <c r="AJ92" t="s">
        <v>312</v>
      </c>
      <c r="AK92">
        <v>0</v>
      </c>
      <c r="AL92">
        <v>4413</v>
      </c>
      <c r="AM92">
        <v>3530.4000000000005</v>
      </c>
      <c r="AN92">
        <v>0</v>
      </c>
      <c r="AO92">
        <v>3530.4000000000005</v>
      </c>
      <c r="AP92">
        <v>2800</v>
      </c>
      <c r="AQ92">
        <v>2800</v>
      </c>
      <c r="AR92">
        <v>3530.3999999999996</v>
      </c>
      <c r="AS92">
        <v>2240</v>
      </c>
      <c r="AT92">
        <v>0</v>
      </c>
      <c r="AU92">
        <v>46087</v>
      </c>
      <c r="AV92">
        <v>46090</v>
      </c>
      <c r="AW92" t="s">
        <v>204</v>
      </c>
      <c r="AX92">
        <v>882.60000000000036</v>
      </c>
      <c r="AY92">
        <v>560</v>
      </c>
      <c r="AZ92" t="s">
        <v>313</v>
      </c>
      <c r="BD92">
        <v>0</v>
      </c>
      <c r="BE92">
        <v>3</v>
      </c>
      <c r="BF92" t="s">
        <v>314</v>
      </c>
      <c r="BG92" t="s">
        <v>155</v>
      </c>
      <c r="BH92">
        <v>3530.4000000000005</v>
      </c>
      <c r="BI92">
        <v>46115</v>
      </c>
      <c r="BJ92">
        <v>28</v>
      </c>
      <c r="BK92">
        <v>882.60000000000014</v>
      </c>
      <c r="BL92">
        <v>46230</v>
      </c>
      <c r="BM92">
        <v>143</v>
      </c>
      <c r="BN92">
        <v>4413.0000000000009</v>
      </c>
      <c r="BO92">
        <v>0</v>
      </c>
      <c r="BP92" t="str">
        <f t="shared" si="1"/>
        <v>TMEIPRAN</v>
      </c>
    </row>
    <row r="93" spans="1:68" x14ac:dyDescent="0.25">
      <c r="A93" t="s">
        <v>678</v>
      </c>
      <c r="B93" t="s">
        <v>679</v>
      </c>
      <c r="C93" t="s">
        <v>680</v>
      </c>
      <c r="D93">
        <v>2932.56</v>
      </c>
      <c r="E93">
        <v>3804</v>
      </c>
      <c r="F93">
        <v>46111</v>
      </c>
      <c r="G93" t="s">
        <v>152</v>
      </c>
      <c r="H93" t="s">
        <v>608</v>
      </c>
      <c r="I93" t="s">
        <v>681</v>
      </c>
      <c r="J93" t="s">
        <v>306</v>
      </c>
      <c r="K93" t="s">
        <v>307</v>
      </c>
      <c r="L93">
        <v>46094</v>
      </c>
      <c r="M93">
        <v>46094</v>
      </c>
      <c r="N93">
        <v>46094</v>
      </c>
      <c r="O93" t="s">
        <v>395</v>
      </c>
      <c r="P93" t="s">
        <v>396</v>
      </c>
      <c r="Q93" t="s">
        <v>328</v>
      </c>
      <c r="R93" t="s">
        <v>310</v>
      </c>
      <c r="S93" t="s">
        <v>310</v>
      </c>
      <c r="T93" t="s">
        <v>682</v>
      </c>
      <c r="U93">
        <v>0</v>
      </c>
      <c r="V93">
        <v>3804</v>
      </c>
      <c r="W93">
        <v>0</v>
      </c>
      <c r="X93">
        <v>0</v>
      </c>
      <c r="Y93">
        <v>3804</v>
      </c>
      <c r="Z93">
        <v>0</v>
      </c>
      <c r="AA93" t="s">
        <v>204</v>
      </c>
      <c r="AB93">
        <v>3804</v>
      </c>
      <c r="AC93">
        <v>2400</v>
      </c>
      <c r="AD93">
        <v>2400</v>
      </c>
      <c r="AE93">
        <v>2400</v>
      </c>
      <c r="AF93">
        <v>0</v>
      </c>
      <c r="AG93">
        <v>0</v>
      </c>
      <c r="AH93" t="s">
        <v>312</v>
      </c>
      <c r="AI93" t="s">
        <v>312</v>
      </c>
      <c r="AJ93" t="s">
        <v>312</v>
      </c>
      <c r="AK93">
        <v>0</v>
      </c>
      <c r="AL93">
        <v>3804</v>
      </c>
      <c r="AM93">
        <v>3043.2000000000003</v>
      </c>
      <c r="AN93">
        <v>0</v>
      </c>
      <c r="AO93">
        <v>3043.2000000000003</v>
      </c>
      <c r="AP93">
        <v>2400</v>
      </c>
      <c r="AQ93">
        <v>2400</v>
      </c>
      <c r="AR93">
        <v>3043.2</v>
      </c>
      <c r="AS93">
        <v>1920</v>
      </c>
      <c r="AT93">
        <v>0</v>
      </c>
      <c r="AU93">
        <v>46094</v>
      </c>
      <c r="AV93">
        <v>46115</v>
      </c>
      <c r="AW93" t="s">
        <v>204</v>
      </c>
      <c r="AX93">
        <v>760.80000000000018</v>
      </c>
      <c r="AY93">
        <v>480</v>
      </c>
      <c r="AZ93" t="s">
        <v>313</v>
      </c>
      <c r="BD93">
        <v>0</v>
      </c>
      <c r="BE93">
        <v>21</v>
      </c>
      <c r="BF93" t="s">
        <v>314</v>
      </c>
      <c r="BG93" t="s">
        <v>155</v>
      </c>
      <c r="BH93">
        <v>3043.2000000000003</v>
      </c>
      <c r="BI93">
        <v>46115</v>
      </c>
      <c r="BJ93">
        <v>21</v>
      </c>
      <c r="BK93">
        <v>760.80000000000007</v>
      </c>
      <c r="BL93">
        <v>46230</v>
      </c>
      <c r="BM93">
        <v>136</v>
      </c>
      <c r="BN93">
        <v>3804.0000000000005</v>
      </c>
      <c r="BO93">
        <v>0</v>
      </c>
      <c r="BP93" t="str">
        <f t="shared" si="1"/>
        <v>TMEIPRAN</v>
      </c>
    </row>
    <row r="94" spans="1:68" x14ac:dyDescent="0.25">
      <c r="A94" t="s">
        <v>683</v>
      </c>
      <c r="B94" t="s">
        <v>684</v>
      </c>
      <c r="C94" t="s">
        <v>685</v>
      </c>
      <c r="D94">
        <v>2932.56</v>
      </c>
      <c r="E94">
        <v>3804</v>
      </c>
      <c r="F94">
        <v>46111</v>
      </c>
      <c r="G94" t="s">
        <v>152</v>
      </c>
      <c r="H94" t="s">
        <v>608</v>
      </c>
      <c r="I94" t="s">
        <v>686</v>
      </c>
      <c r="J94" t="s">
        <v>306</v>
      </c>
      <c r="K94" t="s">
        <v>307</v>
      </c>
      <c r="L94">
        <v>46093</v>
      </c>
      <c r="M94">
        <v>46093</v>
      </c>
      <c r="N94">
        <v>46093</v>
      </c>
      <c r="O94" t="s">
        <v>395</v>
      </c>
      <c r="P94" t="s">
        <v>396</v>
      </c>
      <c r="Q94" t="s">
        <v>328</v>
      </c>
      <c r="R94" t="s">
        <v>310</v>
      </c>
      <c r="S94" t="s">
        <v>310</v>
      </c>
      <c r="T94" t="s">
        <v>682</v>
      </c>
      <c r="U94">
        <v>0</v>
      </c>
      <c r="V94">
        <v>3804</v>
      </c>
      <c r="W94">
        <v>0</v>
      </c>
      <c r="X94">
        <v>0</v>
      </c>
      <c r="Y94">
        <v>3804</v>
      </c>
      <c r="Z94">
        <v>0</v>
      </c>
      <c r="AA94" t="s">
        <v>204</v>
      </c>
      <c r="AB94">
        <v>3804</v>
      </c>
      <c r="AC94">
        <v>2400</v>
      </c>
      <c r="AD94">
        <v>2400</v>
      </c>
      <c r="AE94">
        <v>2400</v>
      </c>
      <c r="AF94">
        <v>0</v>
      </c>
      <c r="AG94">
        <v>0</v>
      </c>
      <c r="AH94" t="s">
        <v>312</v>
      </c>
      <c r="AI94" t="s">
        <v>312</v>
      </c>
      <c r="AJ94" t="s">
        <v>312</v>
      </c>
      <c r="AK94">
        <v>0</v>
      </c>
      <c r="AL94">
        <v>3804</v>
      </c>
      <c r="AM94">
        <v>3043.2000000000003</v>
      </c>
      <c r="AN94">
        <v>0</v>
      </c>
      <c r="AO94">
        <v>3043.2000000000003</v>
      </c>
      <c r="AP94">
        <v>2400</v>
      </c>
      <c r="AQ94">
        <v>2400</v>
      </c>
      <c r="AR94">
        <v>3043.2</v>
      </c>
      <c r="AS94">
        <v>2400</v>
      </c>
      <c r="AT94">
        <v>0</v>
      </c>
      <c r="AU94">
        <v>46093</v>
      </c>
      <c r="AV94">
        <v>46097</v>
      </c>
      <c r="AW94" t="s">
        <v>204</v>
      </c>
      <c r="AX94">
        <v>760.80000000000018</v>
      </c>
      <c r="AY94">
        <v>0</v>
      </c>
      <c r="AZ94" t="s">
        <v>313</v>
      </c>
      <c r="BD94">
        <v>0</v>
      </c>
      <c r="BE94">
        <v>4</v>
      </c>
      <c r="BF94" t="s">
        <v>314</v>
      </c>
      <c r="BG94" t="s">
        <v>155</v>
      </c>
      <c r="BH94">
        <v>3043.2000000000003</v>
      </c>
      <c r="BI94">
        <v>46115</v>
      </c>
      <c r="BJ94">
        <v>22</v>
      </c>
      <c r="BK94">
        <v>760.80000000000007</v>
      </c>
      <c r="BL94">
        <v>46230</v>
      </c>
      <c r="BM94">
        <v>137</v>
      </c>
      <c r="BN94">
        <v>3804.0000000000005</v>
      </c>
      <c r="BO94">
        <v>0</v>
      </c>
      <c r="BP94" t="str">
        <f t="shared" si="1"/>
        <v>TMEIPRAN</v>
      </c>
    </row>
    <row r="95" spans="1:68" x14ac:dyDescent="0.25">
      <c r="A95" t="s">
        <v>687</v>
      </c>
      <c r="B95" t="s">
        <v>688</v>
      </c>
      <c r="C95" t="s">
        <v>689</v>
      </c>
      <c r="D95">
        <v>2932.56</v>
      </c>
      <c r="E95">
        <v>3804</v>
      </c>
      <c r="F95">
        <v>46111</v>
      </c>
      <c r="G95" t="s">
        <v>152</v>
      </c>
      <c r="H95" t="s">
        <v>608</v>
      </c>
      <c r="I95" t="s">
        <v>690</v>
      </c>
      <c r="J95" t="s">
        <v>306</v>
      </c>
      <c r="K95" t="s">
        <v>307</v>
      </c>
      <c r="L95">
        <v>46093</v>
      </c>
      <c r="M95">
        <v>46093</v>
      </c>
      <c r="N95">
        <v>46093</v>
      </c>
      <c r="O95" t="s">
        <v>395</v>
      </c>
      <c r="P95" t="s">
        <v>396</v>
      </c>
      <c r="Q95" t="s">
        <v>328</v>
      </c>
      <c r="R95" t="s">
        <v>310</v>
      </c>
      <c r="S95" t="s">
        <v>310</v>
      </c>
      <c r="T95" t="s">
        <v>682</v>
      </c>
      <c r="U95">
        <v>0</v>
      </c>
      <c r="V95">
        <v>3804</v>
      </c>
      <c r="W95">
        <v>0</v>
      </c>
      <c r="X95">
        <v>0</v>
      </c>
      <c r="Y95">
        <v>3804</v>
      </c>
      <c r="Z95">
        <v>0</v>
      </c>
      <c r="AA95" t="s">
        <v>204</v>
      </c>
      <c r="AB95">
        <v>3804</v>
      </c>
      <c r="AC95">
        <v>2400</v>
      </c>
      <c r="AD95">
        <v>2400</v>
      </c>
      <c r="AE95">
        <v>2400</v>
      </c>
      <c r="AF95">
        <v>0</v>
      </c>
      <c r="AG95">
        <v>0</v>
      </c>
      <c r="AH95" t="s">
        <v>312</v>
      </c>
      <c r="AI95" t="s">
        <v>312</v>
      </c>
      <c r="AJ95" t="s">
        <v>312</v>
      </c>
      <c r="AK95">
        <v>0</v>
      </c>
      <c r="AL95">
        <v>3804</v>
      </c>
      <c r="AM95">
        <v>3043.2000000000003</v>
      </c>
      <c r="AN95">
        <v>0</v>
      </c>
      <c r="AO95">
        <v>3043.2000000000003</v>
      </c>
      <c r="AP95">
        <v>2400</v>
      </c>
      <c r="AQ95">
        <v>2400</v>
      </c>
      <c r="AR95">
        <v>3043.2</v>
      </c>
      <c r="AS95">
        <v>2400</v>
      </c>
      <c r="AT95">
        <v>0</v>
      </c>
      <c r="AU95">
        <v>46093</v>
      </c>
      <c r="AV95">
        <v>46097</v>
      </c>
      <c r="AW95" t="s">
        <v>204</v>
      </c>
      <c r="AX95">
        <v>760.80000000000018</v>
      </c>
      <c r="AY95">
        <v>0</v>
      </c>
      <c r="AZ95" t="s">
        <v>313</v>
      </c>
      <c r="BD95">
        <v>0</v>
      </c>
      <c r="BE95">
        <v>4</v>
      </c>
      <c r="BF95" t="s">
        <v>314</v>
      </c>
      <c r="BG95" t="s">
        <v>155</v>
      </c>
      <c r="BH95">
        <v>3043.2000000000003</v>
      </c>
      <c r="BI95">
        <v>46115</v>
      </c>
      <c r="BJ95">
        <v>22</v>
      </c>
      <c r="BK95">
        <v>760.80000000000007</v>
      </c>
      <c r="BL95">
        <v>46230</v>
      </c>
      <c r="BM95">
        <v>137</v>
      </c>
      <c r="BN95">
        <v>3804.0000000000005</v>
      </c>
      <c r="BO95">
        <v>0</v>
      </c>
      <c r="BP95" t="str">
        <f t="shared" si="1"/>
        <v>TMEIPRAN</v>
      </c>
    </row>
    <row r="96" spans="1:68" x14ac:dyDescent="0.25">
      <c r="A96" t="s">
        <v>691</v>
      </c>
      <c r="B96" t="s">
        <v>692</v>
      </c>
      <c r="C96" t="s">
        <v>693</v>
      </c>
      <c r="D96">
        <v>2050.4700000000003</v>
      </c>
      <c r="E96">
        <v>2783</v>
      </c>
      <c r="F96">
        <v>46111</v>
      </c>
      <c r="G96" t="s">
        <v>152</v>
      </c>
      <c r="H96" t="s">
        <v>608</v>
      </c>
      <c r="I96" t="s">
        <v>694</v>
      </c>
      <c r="J96" t="s">
        <v>306</v>
      </c>
      <c r="K96" t="s">
        <v>307</v>
      </c>
      <c r="L96">
        <v>46094</v>
      </c>
      <c r="M96">
        <v>46094</v>
      </c>
      <c r="N96">
        <v>46094</v>
      </c>
      <c r="O96" t="s">
        <v>395</v>
      </c>
      <c r="P96" t="s">
        <v>396</v>
      </c>
      <c r="Q96" t="s">
        <v>328</v>
      </c>
      <c r="R96" t="s">
        <v>310</v>
      </c>
      <c r="S96" t="s">
        <v>310</v>
      </c>
      <c r="T96" t="s">
        <v>682</v>
      </c>
      <c r="U96">
        <v>0</v>
      </c>
      <c r="V96">
        <v>1413</v>
      </c>
      <c r="W96">
        <v>1370</v>
      </c>
      <c r="X96">
        <v>0</v>
      </c>
      <c r="Y96">
        <v>2783</v>
      </c>
      <c r="Z96">
        <v>0</v>
      </c>
      <c r="AA96" t="s">
        <v>204</v>
      </c>
      <c r="AB96">
        <v>2783</v>
      </c>
      <c r="AC96">
        <v>1800</v>
      </c>
      <c r="AD96">
        <v>1630</v>
      </c>
      <c r="AE96">
        <v>1630</v>
      </c>
      <c r="AF96">
        <v>0</v>
      </c>
      <c r="AG96">
        <v>0</v>
      </c>
      <c r="AH96" t="s">
        <v>312</v>
      </c>
      <c r="AI96" t="s">
        <v>312</v>
      </c>
      <c r="AJ96" t="s">
        <v>312</v>
      </c>
      <c r="AK96">
        <v>0</v>
      </c>
      <c r="AL96">
        <v>2783</v>
      </c>
      <c r="AM96">
        <v>2500.4</v>
      </c>
      <c r="AN96">
        <v>0</v>
      </c>
      <c r="AO96">
        <v>2500.4</v>
      </c>
      <c r="AP96">
        <v>1630</v>
      </c>
      <c r="AQ96">
        <v>1630</v>
      </c>
      <c r="AR96">
        <v>2500.4</v>
      </c>
      <c r="AS96">
        <v>1304</v>
      </c>
      <c r="AT96">
        <v>0</v>
      </c>
      <c r="AU96">
        <v>46094</v>
      </c>
      <c r="AV96">
        <v>46118</v>
      </c>
      <c r="AW96" t="s">
        <v>204</v>
      </c>
      <c r="AX96">
        <v>282.59999999999991</v>
      </c>
      <c r="AY96">
        <v>326</v>
      </c>
      <c r="AZ96" t="s">
        <v>313</v>
      </c>
      <c r="BD96">
        <v>0</v>
      </c>
      <c r="BE96">
        <v>24</v>
      </c>
      <c r="BF96" t="s">
        <v>314</v>
      </c>
      <c r="BG96" t="s">
        <v>155</v>
      </c>
      <c r="BH96">
        <v>2500.4</v>
      </c>
      <c r="BI96">
        <v>46115</v>
      </c>
      <c r="BJ96">
        <v>21</v>
      </c>
      <c r="BK96">
        <v>0</v>
      </c>
      <c r="BN96">
        <v>2500.4</v>
      </c>
      <c r="BO96">
        <v>282.59999999999991</v>
      </c>
      <c r="BP96" t="str">
        <f t="shared" si="1"/>
        <v>TMEIPRAN</v>
      </c>
    </row>
    <row r="97" spans="1:68" x14ac:dyDescent="0.25">
      <c r="A97" t="s">
        <v>695</v>
      </c>
      <c r="B97" t="s">
        <v>696</v>
      </c>
      <c r="C97" t="s">
        <v>697</v>
      </c>
      <c r="D97">
        <v>2932.56</v>
      </c>
      <c r="E97">
        <v>3804</v>
      </c>
      <c r="F97">
        <v>46111</v>
      </c>
      <c r="G97" t="s">
        <v>152</v>
      </c>
      <c r="H97" t="s">
        <v>608</v>
      </c>
      <c r="I97" t="s">
        <v>698</v>
      </c>
      <c r="J97" t="s">
        <v>306</v>
      </c>
      <c r="K97" t="s">
        <v>307</v>
      </c>
      <c r="L97">
        <v>46097</v>
      </c>
      <c r="M97">
        <v>46097</v>
      </c>
      <c r="N97">
        <v>46097</v>
      </c>
      <c r="O97" t="s">
        <v>395</v>
      </c>
      <c r="P97" t="s">
        <v>396</v>
      </c>
      <c r="Q97" t="s">
        <v>328</v>
      </c>
      <c r="R97" t="s">
        <v>310</v>
      </c>
      <c r="S97" t="s">
        <v>310</v>
      </c>
      <c r="T97" t="s">
        <v>699</v>
      </c>
      <c r="U97">
        <v>0</v>
      </c>
      <c r="V97">
        <v>3804</v>
      </c>
      <c r="W97">
        <v>0</v>
      </c>
      <c r="X97">
        <v>0</v>
      </c>
      <c r="Y97">
        <v>3804</v>
      </c>
      <c r="Z97">
        <v>0</v>
      </c>
      <c r="AA97" t="s">
        <v>204</v>
      </c>
      <c r="AB97">
        <v>3804</v>
      </c>
      <c r="AC97">
        <v>2400</v>
      </c>
      <c r="AD97">
        <v>2400</v>
      </c>
      <c r="AE97">
        <v>2400</v>
      </c>
      <c r="AF97">
        <v>0</v>
      </c>
      <c r="AG97">
        <v>0</v>
      </c>
      <c r="AH97" t="s">
        <v>312</v>
      </c>
      <c r="AI97" t="s">
        <v>312</v>
      </c>
      <c r="AJ97" t="s">
        <v>312</v>
      </c>
      <c r="AK97">
        <v>0</v>
      </c>
      <c r="AL97">
        <v>3804</v>
      </c>
      <c r="AM97">
        <v>3043.2000000000003</v>
      </c>
      <c r="AN97">
        <v>0</v>
      </c>
      <c r="AO97">
        <v>3043.2000000000003</v>
      </c>
      <c r="AP97">
        <v>2400</v>
      </c>
      <c r="AQ97">
        <v>2400</v>
      </c>
      <c r="AR97">
        <v>3043.2</v>
      </c>
      <c r="AS97">
        <v>2400</v>
      </c>
      <c r="AT97">
        <v>0</v>
      </c>
      <c r="AU97">
        <v>46097</v>
      </c>
      <c r="AV97">
        <v>46099</v>
      </c>
      <c r="AW97" t="s">
        <v>204</v>
      </c>
      <c r="AX97">
        <v>760.80000000000018</v>
      </c>
      <c r="AY97">
        <v>0</v>
      </c>
      <c r="AZ97" t="s">
        <v>313</v>
      </c>
      <c r="BD97">
        <v>0</v>
      </c>
      <c r="BE97">
        <v>2</v>
      </c>
      <c r="BF97" t="s">
        <v>314</v>
      </c>
      <c r="BG97" t="s">
        <v>155</v>
      </c>
      <c r="BH97">
        <v>3043.2000000000003</v>
      </c>
      <c r="BI97">
        <v>46115</v>
      </c>
      <c r="BJ97">
        <v>18</v>
      </c>
      <c r="BK97">
        <v>760.80000000000007</v>
      </c>
      <c r="BL97">
        <v>46230</v>
      </c>
      <c r="BM97">
        <v>133</v>
      </c>
      <c r="BN97">
        <v>3804.0000000000005</v>
      </c>
      <c r="BO97">
        <v>0</v>
      </c>
      <c r="BP97" t="str">
        <f t="shared" si="1"/>
        <v>TMEIPRAN</v>
      </c>
    </row>
    <row r="98" spans="1:68" x14ac:dyDescent="0.25">
      <c r="A98" t="s">
        <v>700</v>
      </c>
      <c r="B98" t="s">
        <v>701</v>
      </c>
      <c r="C98" t="s">
        <v>702</v>
      </c>
      <c r="D98">
        <v>2932.56</v>
      </c>
      <c r="E98">
        <v>3804</v>
      </c>
      <c r="F98">
        <v>46111</v>
      </c>
      <c r="G98" t="s">
        <v>152</v>
      </c>
      <c r="H98" t="s">
        <v>608</v>
      </c>
      <c r="I98" t="s">
        <v>703</v>
      </c>
      <c r="J98" t="s">
        <v>306</v>
      </c>
      <c r="K98" t="s">
        <v>307</v>
      </c>
      <c r="L98">
        <v>46093</v>
      </c>
      <c r="M98">
        <v>46093</v>
      </c>
      <c r="N98">
        <v>46093</v>
      </c>
      <c r="O98" t="s">
        <v>395</v>
      </c>
      <c r="P98" t="s">
        <v>396</v>
      </c>
      <c r="Q98" t="s">
        <v>328</v>
      </c>
      <c r="R98" t="s">
        <v>310</v>
      </c>
      <c r="S98" t="s">
        <v>310</v>
      </c>
      <c r="T98" t="s">
        <v>682</v>
      </c>
      <c r="U98">
        <v>0</v>
      </c>
      <c r="V98">
        <v>3804</v>
      </c>
      <c r="W98">
        <v>0</v>
      </c>
      <c r="X98">
        <v>0</v>
      </c>
      <c r="Y98">
        <v>3804</v>
      </c>
      <c r="Z98">
        <v>0</v>
      </c>
      <c r="AA98" t="s">
        <v>204</v>
      </c>
      <c r="AB98">
        <v>3804</v>
      </c>
      <c r="AC98">
        <v>2400</v>
      </c>
      <c r="AD98">
        <v>2400</v>
      </c>
      <c r="AE98">
        <v>2400</v>
      </c>
      <c r="AF98">
        <v>0</v>
      </c>
      <c r="AG98">
        <v>0</v>
      </c>
      <c r="AH98" t="s">
        <v>312</v>
      </c>
      <c r="AI98" t="s">
        <v>312</v>
      </c>
      <c r="AJ98" t="s">
        <v>312</v>
      </c>
      <c r="AK98">
        <v>0</v>
      </c>
      <c r="AL98">
        <v>3804</v>
      </c>
      <c r="AM98">
        <v>3043.2000000000003</v>
      </c>
      <c r="AN98">
        <v>0</v>
      </c>
      <c r="AO98">
        <v>3043.2000000000003</v>
      </c>
      <c r="AP98">
        <v>2400</v>
      </c>
      <c r="AQ98">
        <v>2400</v>
      </c>
      <c r="AR98">
        <v>3043.2</v>
      </c>
      <c r="AS98">
        <v>2400</v>
      </c>
      <c r="AT98">
        <v>0</v>
      </c>
      <c r="AU98">
        <v>46094</v>
      </c>
      <c r="AV98">
        <v>46097</v>
      </c>
      <c r="AW98" t="s">
        <v>204</v>
      </c>
      <c r="AX98">
        <v>760.80000000000018</v>
      </c>
      <c r="AY98">
        <v>0</v>
      </c>
      <c r="AZ98" t="s">
        <v>313</v>
      </c>
      <c r="BD98">
        <v>1</v>
      </c>
      <c r="BE98">
        <v>4</v>
      </c>
      <c r="BF98" t="s">
        <v>314</v>
      </c>
      <c r="BG98" t="s">
        <v>155</v>
      </c>
      <c r="BH98">
        <v>3043.2000000000003</v>
      </c>
      <c r="BI98">
        <v>46115</v>
      </c>
      <c r="BJ98">
        <v>22</v>
      </c>
      <c r="BK98">
        <v>760.80000000000007</v>
      </c>
      <c r="BL98">
        <v>46230</v>
      </c>
      <c r="BM98">
        <v>137</v>
      </c>
      <c r="BN98">
        <v>3804.0000000000005</v>
      </c>
      <c r="BO98">
        <v>0</v>
      </c>
      <c r="BP98" t="str">
        <f t="shared" si="1"/>
        <v>TMEIPRAN</v>
      </c>
    </row>
    <row r="99" spans="1:68" x14ac:dyDescent="0.25">
      <c r="A99" t="s">
        <v>704</v>
      </c>
      <c r="B99" t="s">
        <v>705</v>
      </c>
      <c r="C99" t="s">
        <v>706</v>
      </c>
      <c r="D99">
        <v>2932.56</v>
      </c>
      <c r="E99">
        <v>3804</v>
      </c>
      <c r="F99">
        <v>46111</v>
      </c>
      <c r="G99" t="s">
        <v>152</v>
      </c>
      <c r="H99" t="s">
        <v>608</v>
      </c>
      <c r="I99" t="s">
        <v>707</v>
      </c>
      <c r="J99" t="s">
        <v>306</v>
      </c>
      <c r="K99" t="s">
        <v>307</v>
      </c>
      <c r="L99">
        <v>46097</v>
      </c>
      <c r="M99">
        <v>46097</v>
      </c>
      <c r="N99">
        <v>46097</v>
      </c>
      <c r="O99" t="s">
        <v>395</v>
      </c>
      <c r="P99" t="s">
        <v>396</v>
      </c>
      <c r="Q99" t="s">
        <v>328</v>
      </c>
      <c r="R99" t="s">
        <v>310</v>
      </c>
      <c r="S99" t="s">
        <v>310</v>
      </c>
      <c r="T99" t="s">
        <v>699</v>
      </c>
      <c r="U99">
        <v>0</v>
      </c>
      <c r="V99">
        <v>3804</v>
      </c>
      <c r="W99">
        <v>0</v>
      </c>
      <c r="X99">
        <v>0</v>
      </c>
      <c r="Y99">
        <v>3804</v>
      </c>
      <c r="Z99">
        <v>0</v>
      </c>
      <c r="AA99" t="s">
        <v>204</v>
      </c>
      <c r="AB99">
        <v>3804</v>
      </c>
      <c r="AC99">
        <v>2400</v>
      </c>
      <c r="AD99">
        <v>2400</v>
      </c>
      <c r="AE99">
        <v>2400</v>
      </c>
      <c r="AF99">
        <v>0</v>
      </c>
      <c r="AG99">
        <v>0</v>
      </c>
      <c r="AH99" t="s">
        <v>312</v>
      </c>
      <c r="AI99" t="s">
        <v>312</v>
      </c>
      <c r="AJ99" t="s">
        <v>312</v>
      </c>
      <c r="AK99">
        <v>0</v>
      </c>
      <c r="AL99">
        <v>3804</v>
      </c>
      <c r="AM99">
        <v>3043.2000000000003</v>
      </c>
      <c r="AN99">
        <v>0</v>
      </c>
      <c r="AO99">
        <v>3043.2000000000003</v>
      </c>
      <c r="AP99">
        <v>2400</v>
      </c>
      <c r="AQ99">
        <v>2400</v>
      </c>
      <c r="AR99">
        <v>3043.2</v>
      </c>
      <c r="AS99">
        <v>2400</v>
      </c>
      <c r="AT99">
        <v>0</v>
      </c>
      <c r="AU99">
        <v>46097</v>
      </c>
      <c r="AV99">
        <v>46099</v>
      </c>
      <c r="AW99" t="s">
        <v>204</v>
      </c>
      <c r="AX99">
        <v>760.80000000000018</v>
      </c>
      <c r="AY99">
        <v>0</v>
      </c>
      <c r="AZ99" t="s">
        <v>313</v>
      </c>
      <c r="BD99">
        <v>0</v>
      </c>
      <c r="BE99">
        <v>2</v>
      </c>
      <c r="BF99" t="s">
        <v>314</v>
      </c>
      <c r="BG99" t="s">
        <v>155</v>
      </c>
      <c r="BH99">
        <v>3043.2000000000003</v>
      </c>
      <c r="BI99">
        <v>46115</v>
      </c>
      <c r="BJ99">
        <v>18</v>
      </c>
      <c r="BK99">
        <v>760.80000000000007</v>
      </c>
      <c r="BL99">
        <v>46230</v>
      </c>
      <c r="BM99">
        <v>133</v>
      </c>
      <c r="BN99">
        <v>3804.0000000000005</v>
      </c>
      <c r="BO99">
        <v>0</v>
      </c>
      <c r="BP99" t="str">
        <f t="shared" si="1"/>
        <v>TMEIPRAN</v>
      </c>
    </row>
    <row r="100" spans="1:68" x14ac:dyDescent="0.25">
      <c r="A100" t="s">
        <v>708</v>
      </c>
      <c r="B100" t="s">
        <v>709</v>
      </c>
      <c r="C100" t="s">
        <v>710</v>
      </c>
      <c r="D100">
        <v>1537.29</v>
      </c>
      <c r="E100">
        <v>2081</v>
      </c>
      <c r="F100">
        <v>46111</v>
      </c>
      <c r="G100" t="s">
        <v>152</v>
      </c>
      <c r="H100" t="s">
        <v>373</v>
      </c>
      <c r="I100" t="s">
        <v>711</v>
      </c>
      <c r="J100" t="s">
        <v>306</v>
      </c>
      <c r="K100" t="s">
        <v>307</v>
      </c>
      <c r="L100">
        <v>46093</v>
      </c>
      <c r="M100">
        <v>46093</v>
      </c>
      <c r="N100">
        <v>46093</v>
      </c>
      <c r="O100" t="s">
        <v>395</v>
      </c>
      <c r="P100" t="s">
        <v>396</v>
      </c>
      <c r="Q100" t="s">
        <v>328</v>
      </c>
      <c r="R100" t="s">
        <v>310</v>
      </c>
      <c r="S100" t="s">
        <v>310</v>
      </c>
      <c r="T100" t="s">
        <v>682</v>
      </c>
      <c r="U100">
        <v>0</v>
      </c>
      <c r="V100">
        <v>1970</v>
      </c>
      <c r="W100">
        <v>0</v>
      </c>
      <c r="X100">
        <v>111</v>
      </c>
      <c r="Y100">
        <v>2081</v>
      </c>
      <c r="Z100">
        <v>0</v>
      </c>
      <c r="AA100" t="s">
        <v>204</v>
      </c>
      <c r="AB100">
        <v>2081</v>
      </c>
      <c r="AC100">
        <v>1350</v>
      </c>
      <c r="AD100">
        <v>1230</v>
      </c>
      <c r="AE100">
        <v>1230</v>
      </c>
      <c r="AF100">
        <v>0</v>
      </c>
      <c r="AG100">
        <v>0</v>
      </c>
      <c r="AH100" t="s">
        <v>312</v>
      </c>
      <c r="AI100" t="s">
        <v>312</v>
      </c>
      <c r="AJ100" t="s">
        <v>312</v>
      </c>
      <c r="AK100">
        <v>0</v>
      </c>
      <c r="AL100">
        <v>2081</v>
      </c>
      <c r="AM100">
        <v>1687</v>
      </c>
      <c r="AN100">
        <v>0</v>
      </c>
      <c r="AO100">
        <v>1687</v>
      </c>
      <c r="AP100">
        <v>1230</v>
      </c>
      <c r="AQ100">
        <v>1230</v>
      </c>
      <c r="AR100">
        <v>1687</v>
      </c>
      <c r="AS100">
        <v>984</v>
      </c>
      <c r="AT100">
        <v>0</v>
      </c>
      <c r="AU100">
        <v>46093</v>
      </c>
      <c r="AV100">
        <v>46115</v>
      </c>
      <c r="AW100" t="s">
        <v>204</v>
      </c>
      <c r="AX100">
        <v>394</v>
      </c>
      <c r="AY100">
        <v>246</v>
      </c>
      <c r="AZ100" t="s">
        <v>313</v>
      </c>
      <c r="BD100">
        <v>0</v>
      </c>
      <c r="BE100">
        <v>22</v>
      </c>
      <c r="BF100" t="s">
        <v>314</v>
      </c>
      <c r="BG100" t="s">
        <v>155</v>
      </c>
      <c r="BH100">
        <v>1687</v>
      </c>
      <c r="BI100">
        <v>46115</v>
      </c>
      <c r="BJ100">
        <v>22</v>
      </c>
      <c r="BK100">
        <v>0</v>
      </c>
      <c r="BN100">
        <v>1687</v>
      </c>
      <c r="BO100">
        <v>394</v>
      </c>
      <c r="BP100" t="str">
        <f t="shared" si="1"/>
        <v>TMEIPRAN</v>
      </c>
    </row>
    <row r="101" spans="1:68" x14ac:dyDescent="0.25">
      <c r="A101" t="s">
        <v>712</v>
      </c>
      <c r="B101" t="s">
        <v>713</v>
      </c>
      <c r="C101" t="s">
        <v>714</v>
      </c>
      <c r="D101">
        <v>21666.04</v>
      </c>
      <c r="E101">
        <v>26422</v>
      </c>
      <c r="F101">
        <v>46111</v>
      </c>
      <c r="G101" t="s">
        <v>159</v>
      </c>
      <c r="H101" t="s">
        <v>368</v>
      </c>
      <c r="I101" t="s">
        <v>715</v>
      </c>
      <c r="J101" t="s">
        <v>306</v>
      </c>
      <c r="K101" t="s">
        <v>307</v>
      </c>
      <c r="L101">
        <v>46097</v>
      </c>
      <c r="M101">
        <v>46100</v>
      </c>
      <c r="N101">
        <v>46100</v>
      </c>
      <c r="O101" t="s">
        <v>308</v>
      </c>
      <c r="P101" t="s">
        <v>204</v>
      </c>
      <c r="Q101" t="s">
        <v>309</v>
      </c>
      <c r="R101" t="s">
        <v>310</v>
      </c>
      <c r="S101" t="s">
        <v>310</v>
      </c>
      <c r="T101" t="s">
        <v>699</v>
      </c>
      <c r="U101">
        <v>793</v>
      </c>
      <c r="V101">
        <v>24043</v>
      </c>
      <c r="W101">
        <v>0</v>
      </c>
      <c r="X101">
        <v>1586</v>
      </c>
      <c r="Y101">
        <v>26422</v>
      </c>
      <c r="Z101">
        <v>0</v>
      </c>
      <c r="AA101" t="s">
        <v>204</v>
      </c>
      <c r="AB101">
        <v>26422</v>
      </c>
      <c r="AC101">
        <v>16381.64</v>
      </c>
      <c r="AD101">
        <v>300</v>
      </c>
      <c r="AE101">
        <v>300</v>
      </c>
      <c r="AF101">
        <v>300</v>
      </c>
      <c r="AG101">
        <v>0</v>
      </c>
      <c r="AH101" t="s">
        <v>312</v>
      </c>
      <c r="AI101" t="s">
        <v>312</v>
      </c>
      <c r="AJ101" t="s">
        <v>312</v>
      </c>
      <c r="AK101">
        <v>0</v>
      </c>
      <c r="AL101">
        <v>26422</v>
      </c>
      <c r="AM101">
        <v>19982.799999999996</v>
      </c>
      <c r="AN101">
        <v>6439.1999999999989</v>
      </c>
      <c r="AO101">
        <v>26421.999999999993</v>
      </c>
      <c r="AP101">
        <v>300</v>
      </c>
      <c r="AQ101">
        <v>300</v>
      </c>
      <c r="AR101">
        <v>26422</v>
      </c>
      <c r="AS101">
        <v>0</v>
      </c>
      <c r="AT101">
        <v>5284.4000000000005</v>
      </c>
      <c r="AU101">
        <v>46105</v>
      </c>
      <c r="AV101">
        <v>46106</v>
      </c>
      <c r="AW101" t="s">
        <v>204</v>
      </c>
      <c r="AX101">
        <v>0</v>
      </c>
      <c r="AY101">
        <v>300</v>
      </c>
      <c r="AZ101" t="s">
        <v>313</v>
      </c>
      <c r="BD101">
        <v>5</v>
      </c>
      <c r="BE101">
        <v>6</v>
      </c>
      <c r="BF101" t="s">
        <v>314</v>
      </c>
      <c r="BG101" t="s">
        <v>153</v>
      </c>
      <c r="BH101">
        <v>19982.799999999996</v>
      </c>
      <c r="BI101">
        <v>46115</v>
      </c>
      <c r="BJ101">
        <v>15</v>
      </c>
      <c r="BK101">
        <v>6439.1999999999989</v>
      </c>
      <c r="BL101">
        <v>46115</v>
      </c>
      <c r="BM101">
        <v>15</v>
      </c>
      <c r="BN101">
        <v>26421.999999999993</v>
      </c>
      <c r="BO101">
        <v>0</v>
      </c>
      <c r="BP101" t="str">
        <f t="shared" si="1"/>
        <v>HAEMBB</v>
      </c>
    </row>
    <row r="102" spans="1:68" x14ac:dyDescent="0.25">
      <c r="A102" t="s">
        <v>716</v>
      </c>
      <c r="B102" t="s">
        <v>717</v>
      </c>
      <c r="C102" t="s">
        <v>718</v>
      </c>
      <c r="D102">
        <v>1537.29</v>
      </c>
      <c r="E102">
        <v>2081</v>
      </c>
      <c r="F102">
        <v>46111</v>
      </c>
      <c r="G102" t="s">
        <v>152</v>
      </c>
      <c r="H102" t="s">
        <v>373</v>
      </c>
      <c r="I102" t="s">
        <v>719</v>
      </c>
      <c r="J102" t="s">
        <v>306</v>
      </c>
      <c r="K102" t="s">
        <v>307</v>
      </c>
      <c r="L102">
        <v>46099</v>
      </c>
      <c r="M102">
        <v>46099</v>
      </c>
      <c r="N102">
        <v>46099</v>
      </c>
      <c r="O102" t="s">
        <v>395</v>
      </c>
      <c r="P102" t="s">
        <v>396</v>
      </c>
      <c r="Q102" t="s">
        <v>328</v>
      </c>
      <c r="R102" t="s">
        <v>310</v>
      </c>
      <c r="S102" t="s">
        <v>310</v>
      </c>
      <c r="T102" t="s">
        <v>699</v>
      </c>
      <c r="U102">
        <v>0</v>
      </c>
      <c r="V102">
        <v>1970</v>
      </c>
      <c r="W102">
        <v>0</v>
      </c>
      <c r="X102">
        <v>111</v>
      </c>
      <c r="Y102">
        <v>2081</v>
      </c>
      <c r="Z102">
        <v>0</v>
      </c>
      <c r="AA102" t="s">
        <v>204</v>
      </c>
      <c r="AB102">
        <v>2081</v>
      </c>
      <c r="AC102">
        <v>1350</v>
      </c>
      <c r="AD102">
        <v>1230</v>
      </c>
      <c r="AE102">
        <v>1230</v>
      </c>
      <c r="AF102">
        <v>0</v>
      </c>
      <c r="AG102">
        <v>0</v>
      </c>
      <c r="AH102" t="s">
        <v>312</v>
      </c>
      <c r="AI102" t="s">
        <v>312</v>
      </c>
      <c r="AJ102" t="s">
        <v>312</v>
      </c>
      <c r="AK102">
        <v>0</v>
      </c>
      <c r="AL102">
        <v>2081</v>
      </c>
      <c r="AM102">
        <v>1687</v>
      </c>
      <c r="AN102">
        <v>0</v>
      </c>
      <c r="AO102">
        <v>1687</v>
      </c>
      <c r="AP102">
        <v>1230</v>
      </c>
      <c r="AQ102">
        <v>1230</v>
      </c>
      <c r="AR102">
        <v>1687</v>
      </c>
      <c r="AS102">
        <v>984</v>
      </c>
      <c r="AT102">
        <v>0</v>
      </c>
      <c r="AU102">
        <v>46099</v>
      </c>
      <c r="AV102">
        <v>46119</v>
      </c>
      <c r="AW102" t="s">
        <v>204</v>
      </c>
      <c r="AX102">
        <v>394</v>
      </c>
      <c r="AY102">
        <v>246</v>
      </c>
      <c r="AZ102" t="s">
        <v>313</v>
      </c>
      <c r="BD102">
        <v>0</v>
      </c>
      <c r="BE102">
        <v>20</v>
      </c>
      <c r="BF102" t="s">
        <v>314</v>
      </c>
      <c r="BG102" t="s">
        <v>155</v>
      </c>
      <c r="BH102">
        <v>1687</v>
      </c>
      <c r="BI102">
        <v>46115</v>
      </c>
      <c r="BJ102">
        <v>16</v>
      </c>
      <c r="BK102">
        <v>0</v>
      </c>
      <c r="BN102">
        <v>1687</v>
      </c>
      <c r="BO102">
        <v>394</v>
      </c>
      <c r="BP102" t="str">
        <f t="shared" si="1"/>
        <v>TMEIPRAN</v>
      </c>
    </row>
    <row r="103" spans="1:68" x14ac:dyDescent="0.25">
      <c r="A103" t="s">
        <v>720</v>
      </c>
      <c r="B103" t="s">
        <v>721</v>
      </c>
      <c r="C103" t="s">
        <v>722</v>
      </c>
      <c r="D103">
        <v>2932.56</v>
      </c>
      <c r="E103">
        <v>3804</v>
      </c>
      <c r="F103">
        <v>46111</v>
      </c>
      <c r="G103" t="s">
        <v>152</v>
      </c>
      <c r="H103" t="s">
        <v>608</v>
      </c>
      <c r="I103" t="s">
        <v>723</v>
      </c>
      <c r="J103" t="s">
        <v>306</v>
      </c>
      <c r="K103" t="s">
        <v>307</v>
      </c>
      <c r="L103">
        <v>46097</v>
      </c>
      <c r="M103">
        <v>46097</v>
      </c>
      <c r="N103">
        <v>46097</v>
      </c>
      <c r="O103" t="s">
        <v>395</v>
      </c>
      <c r="P103" t="s">
        <v>396</v>
      </c>
      <c r="Q103" t="s">
        <v>328</v>
      </c>
      <c r="R103" t="s">
        <v>310</v>
      </c>
      <c r="S103" t="s">
        <v>310</v>
      </c>
      <c r="T103" t="s">
        <v>699</v>
      </c>
      <c r="U103">
        <v>0</v>
      </c>
      <c r="V103">
        <v>3804</v>
      </c>
      <c r="W103">
        <v>0</v>
      </c>
      <c r="X103">
        <v>0</v>
      </c>
      <c r="Y103">
        <v>3804</v>
      </c>
      <c r="Z103">
        <v>0</v>
      </c>
      <c r="AA103" t="s">
        <v>204</v>
      </c>
      <c r="AB103">
        <v>3804</v>
      </c>
      <c r="AC103">
        <v>2400</v>
      </c>
      <c r="AD103">
        <v>2400</v>
      </c>
      <c r="AE103">
        <v>2400</v>
      </c>
      <c r="AF103">
        <v>0</v>
      </c>
      <c r="AG103">
        <v>0</v>
      </c>
      <c r="AH103" t="s">
        <v>312</v>
      </c>
      <c r="AI103" t="s">
        <v>312</v>
      </c>
      <c r="AJ103" t="s">
        <v>312</v>
      </c>
      <c r="AK103">
        <v>0</v>
      </c>
      <c r="AL103">
        <v>3804</v>
      </c>
      <c r="AM103">
        <v>3043.2000000000003</v>
      </c>
      <c r="AN103">
        <v>0</v>
      </c>
      <c r="AO103">
        <v>3043.2000000000003</v>
      </c>
      <c r="AP103">
        <v>2400</v>
      </c>
      <c r="AQ103">
        <v>2400</v>
      </c>
      <c r="AR103">
        <v>3043.2</v>
      </c>
      <c r="AS103">
        <v>1920</v>
      </c>
      <c r="AT103">
        <v>0</v>
      </c>
      <c r="AU103">
        <v>46097</v>
      </c>
      <c r="AV103">
        <v>46122</v>
      </c>
      <c r="AW103" t="s">
        <v>204</v>
      </c>
      <c r="AX103">
        <v>760.80000000000018</v>
      </c>
      <c r="AY103">
        <v>480</v>
      </c>
      <c r="AZ103" t="s">
        <v>313</v>
      </c>
      <c r="BD103">
        <v>0</v>
      </c>
      <c r="BE103">
        <v>25</v>
      </c>
      <c r="BF103" t="s">
        <v>314</v>
      </c>
      <c r="BG103" t="s">
        <v>155</v>
      </c>
      <c r="BH103">
        <v>3043.2000000000003</v>
      </c>
      <c r="BI103">
        <v>46130</v>
      </c>
      <c r="BJ103">
        <v>33</v>
      </c>
      <c r="BK103">
        <v>760.80000000000007</v>
      </c>
      <c r="BL103">
        <v>46230</v>
      </c>
      <c r="BM103">
        <v>133</v>
      </c>
      <c r="BN103">
        <v>3804.0000000000005</v>
      </c>
      <c r="BO103">
        <v>0</v>
      </c>
      <c r="BP103" t="str">
        <f t="shared" si="1"/>
        <v>TMEIPRAN</v>
      </c>
    </row>
    <row r="104" spans="1:68" x14ac:dyDescent="0.25">
      <c r="A104" t="s">
        <v>724</v>
      </c>
      <c r="B104" t="s">
        <v>725</v>
      </c>
      <c r="C104" t="s">
        <v>726</v>
      </c>
      <c r="D104">
        <v>2932.56</v>
      </c>
      <c r="E104">
        <v>3804</v>
      </c>
      <c r="F104">
        <v>46111</v>
      </c>
      <c r="G104" t="s">
        <v>152</v>
      </c>
      <c r="H104" t="s">
        <v>608</v>
      </c>
      <c r="I104" t="s">
        <v>727</v>
      </c>
      <c r="J104" t="s">
        <v>306</v>
      </c>
      <c r="K104" t="s">
        <v>307</v>
      </c>
      <c r="L104" t="s">
        <v>204</v>
      </c>
      <c r="M104" t="s">
        <v>204</v>
      </c>
      <c r="O104" t="s">
        <v>395</v>
      </c>
      <c r="P104" t="s">
        <v>396</v>
      </c>
      <c r="Q104" t="s">
        <v>672</v>
      </c>
      <c r="R104" t="s">
        <v>672</v>
      </c>
      <c r="S104" t="s">
        <v>310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204</v>
      </c>
      <c r="AB104">
        <v>0</v>
      </c>
      <c r="AC104">
        <v>2400</v>
      </c>
      <c r="AD104">
        <v>0</v>
      </c>
      <c r="AE104">
        <v>0</v>
      </c>
      <c r="AF104">
        <v>0</v>
      </c>
      <c r="AG104">
        <v>0</v>
      </c>
      <c r="AH104" t="s">
        <v>204</v>
      </c>
      <c r="AI104" t="s">
        <v>204</v>
      </c>
      <c r="AJ104" t="s">
        <v>204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204</v>
      </c>
      <c r="AV104" t="s">
        <v>204</v>
      </c>
      <c r="AW104" t="s">
        <v>204</v>
      </c>
      <c r="AX104">
        <v>0</v>
      </c>
      <c r="AY104">
        <v>0</v>
      </c>
      <c r="AZ104" t="s">
        <v>204</v>
      </c>
      <c r="BF104" t="s">
        <v>672</v>
      </c>
      <c r="BG104" t="s">
        <v>672</v>
      </c>
      <c r="BH104">
        <v>0</v>
      </c>
      <c r="BK104">
        <v>0</v>
      </c>
      <c r="BN104">
        <v>0</v>
      </c>
      <c r="BO104">
        <v>0</v>
      </c>
      <c r="BP104" t="str">
        <f t="shared" si="1"/>
        <v>TMECANCEL</v>
      </c>
    </row>
    <row r="105" spans="1:68" x14ac:dyDescent="0.25">
      <c r="A105" t="s">
        <v>728</v>
      </c>
      <c r="B105" t="s">
        <v>729</v>
      </c>
      <c r="C105" t="s">
        <v>730</v>
      </c>
      <c r="D105">
        <v>2932.56</v>
      </c>
      <c r="E105">
        <v>3804</v>
      </c>
      <c r="F105">
        <v>46111</v>
      </c>
      <c r="G105" t="s">
        <v>152</v>
      </c>
      <c r="H105" t="s">
        <v>608</v>
      </c>
      <c r="I105" t="s">
        <v>731</v>
      </c>
      <c r="J105" t="s">
        <v>306</v>
      </c>
      <c r="K105" t="s">
        <v>307</v>
      </c>
      <c r="L105">
        <v>46104</v>
      </c>
      <c r="M105">
        <v>46104</v>
      </c>
      <c r="N105">
        <v>46104</v>
      </c>
      <c r="O105" t="s">
        <v>395</v>
      </c>
      <c r="P105" t="s">
        <v>396</v>
      </c>
      <c r="Q105" t="s">
        <v>328</v>
      </c>
      <c r="R105" t="s">
        <v>310</v>
      </c>
      <c r="S105" t="s">
        <v>310</v>
      </c>
      <c r="T105" t="s">
        <v>732</v>
      </c>
      <c r="U105">
        <v>0</v>
      </c>
      <c r="V105">
        <v>3804</v>
      </c>
      <c r="W105">
        <v>0</v>
      </c>
      <c r="X105">
        <v>0</v>
      </c>
      <c r="Y105">
        <v>3804</v>
      </c>
      <c r="Z105">
        <v>0</v>
      </c>
      <c r="AA105" t="s">
        <v>204</v>
      </c>
      <c r="AB105">
        <v>3804</v>
      </c>
      <c r="AC105">
        <v>2400</v>
      </c>
      <c r="AD105">
        <v>2400</v>
      </c>
      <c r="AE105">
        <v>2400</v>
      </c>
      <c r="AF105">
        <v>0</v>
      </c>
      <c r="AG105">
        <v>0</v>
      </c>
      <c r="AH105" t="s">
        <v>312</v>
      </c>
      <c r="AI105" t="s">
        <v>312</v>
      </c>
      <c r="AJ105" t="s">
        <v>312</v>
      </c>
      <c r="AK105">
        <v>0</v>
      </c>
      <c r="AL105">
        <v>3804</v>
      </c>
      <c r="AM105">
        <v>3043.2000000000003</v>
      </c>
      <c r="AN105">
        <v>0</v>
      </c>
      <c r="AO105">
        <v>3043.2000000000003</v>
      </c>
      <c r="AP105">
        <v>2400</v>
      </c>
      <c r="AQ105">
        <v>2400</v>
      </c>
      <c r="AR105">
        <v>3043.2</v>
      </c>
      <c r="AS105">
        <v>1920</v>
      </c>
      <c r="AT105">
        <v>0</v>
      </c>
      <c r="AU105">
        <v>46105</v>
      </c>
      <c r="AV105">
        <v>46203</v>
      </c>
      <c r="AW105" t="s">
        <v>204</v>
      </c>
      <c r="AX105">
        <v>760.80000000000018</v>
      </c>
      <c r="AY105">
        <v>480</v>
      </c>
      <c r="AZ105" t="s">
        <v>313</v>
      </c>
      <c r="BD105">
        <v>1</v>
      </c>
      <c r="BE105">
        <v>99</v>
      </c>
      <c r="BF105" t="s">
        <v>314</v>
      </c>
      <c r="BG105" t="s">
        <v>155</v>
      </c>
      <c r="BH105">
        <v>3043.2000000000003</v>
      </c>
      <c r="BI105">
        <v>46115</v>
      </c>
      <c r="BJ105">
        <v>11</v>
      </c>
      <c r="BK105">
        <v>760.80000000000007</v>
      </c>
      <c r="BL105">
        <v>46234</v>
      </c>
      <c r="BM105">
        <v>130</v>
      </c>
      <c r="BN105">
        <v>3804.0000000000005</v>
      </c>
      <c r="BO105">
        <v>0</v>
      </c>
      <c r="BP105" t="str">
        <f t="shared" si="1"/>
        <v>TMEIPRAN</v>
      </c>
    </row>
    <row r="106" spans="1:68" x14ac:dyDescent="0.25">
      <c r="A106" t="s">
        <v>733</v>
      </c>
      <c r="B106" t="s">
        <v>734</v>
      </c>
      <c r="C106" t="s">
        <v>735</v>
      </c>
      <c r="D106">
        <v>2932.56</v>
      </c>
      <c r="E106">
        <v>3804</v>
      </c>
      <c r="F106">
        <v>46111</v>
      </c>
      <c r="G106" t="s">
        <v>152</v>
      </c>
      <c r="H106" t="s">
        <v>608</v>
      </c>
      <c r="I106" t="s">
        <v>736</v>
      </c>
      <c r="J106" t="s">
        <v>306</v>
      </c>
      <c r="K106" t="s">
        <v>307</v>
      </c>
      <c r="L106">
        <v>46104</v>
      </c>
      <c r="M106">
        <v>46104</v>
      </c>
      <c r="N106">
        <v>46104</v>
      </c>
      <c r="O106" t="s">
        <v>395</v>
      </c>
      <c r="P106" t="s">
        <v>396</v>
      </c>
      <c r="Q106" t="s">
        <v>328</v>
      </c>
      <c r="R106" t="s">
        <v>310</v>
      </c>
      <c r="S106" t="s">
        <v>310</v>
      </c>
      <c r="T106" t="s">
        <v>732</v>
      </c>
      <c r="U106">
        <v>0</v>
      </c>
      <c r="V106">
        <v>3804</v>
      </c>
      <c r="W106">
        <v>0</v>
      </c>
      <c r="X106">
        <v>0</v>
      </c>
      <c r="Y106">
        <v>3804</v>
      </c>
      <c r="Z106">
        <v>0</v>
      </c>
      <c r="AA106" t="s">
        <v>204</v>
      </c>
      <c r="AB106">
        <v>3804</v>
      </c>
      <c r="AC106">
        <v>2400</v>
      </c>
      <c r="AD106">
        <v>2400</v>
      </c>
      <c r="AE106">
        <v>2400</v>
      </c>
      <c r="AF106">
        <v>0</v>
      </c>
      <c r="AG106">
        <v>0</v>
      </c>
      <c r="AH106" t="s">
        <v>312</v>
      </c>
      <c r="AI106" t="s">
        <v>312</v>
      </c>
      <c r="AJ106" t="s">
        <v>312</v>
      </c>
      <c r="AK106">
        <v>0</v>
      </c>
      <c r="AL106">
        <v>3804</v>
      </c>
      <c r="AM106">
        <v>3043.2000000000003</v>
      </c>
      <c r="AN106">
        <v>760.80000000000007</v>
      </c>
      <c r="AO106">
        <v>3804.0000000000005</v>
      </c>
      <c r="AP106">
        <v>2400</v>
      </c>
      <c r="AQ106">
        <v>2400</v>
      </c>
      <c r="AR106">
        <v>3804</v>
      </c>
      <c r="AS106">
        <v>1920</v>
      </c>
      <c r="AT106">
        <v>0</v>
      </c>
      <c r="AU106">
        <v>46105</v>
      </c>
      <c r="AV106">
        <v>46148</v>
      </c>
      <c r="AW106" t="s">
        <v>204</v>
      </c>
      <c r="AX106">
        <v>0</v>
      </c>
      <c r="AY106">
        <v>480</v>
      </c>
      <c r="AZ106" t="s">
        <v>313</v>
      </c>
      <c r="BD106">
        <v>1</v>
      </c>
      <c r="BE106">
        <v>44</v>
      </c>
      <c r="BF106" t="s">
        <v>314</v>
      </c>
      <c r="BG106" t="s">
        <v>155</v>
      </c>
      <c r="BH106">
        <v>3043.2000000000003</v>
      </c>
      <c r="BI106">
        <v>46115</v>
      </c>
      <c r="BJ106">
        <v>11</v>
      </c>
      <c r="BK106">
        <v>760.80000000000007</v>
      </c>
      <c r="BL106">
        <v>46213</v>
      </c>
      <c r="BM106">
        <v>109</v>
      </c>
      <c r="BN106">
        <v>3804.0000000000005</v>
      </c>
      <c r="BO106">
        <v>0</v>
      </c>
      <c r="BP106" t="str">
        <f t="shared" si="1"/>
        <v>TMEIPRAN</v>
      </c>
    </row>
    <row r="107" spans="1:68" x14ac:dyDescent="0.25">
      <c r="A107" t="s">
        <v>737</v>
      </c>
      <c r="B107" t="s">
        <v>738</v>
      </c>
      <c r="C107" t="s">
        <v>739</v>
      </c>
      <c r="D107">
        <v>2932.56</v>
      </c>
      <c r="E107">
        <v>3804</v>
      </c>
      <c r="F107">
        <v>46111</v>
      </c>
      <c r="G107" t="s">
        <v>152</v>
      </c>
      <c r="H107" t="s">
        <v>608</v>
      </c>
      <c r="I107" t="s">
        <v>740</v>
      </c>
      <c r="J107" t="s">
        <v>306</v>
      </c>
      <c r="K107" t="s">
        <v>307</v>
      </c>
      <c r="L107">
        <v>46104</v>
      </c>
      <c r="M107">
        <v>46104</v>
      </c>
      <c r="N107">
        <v>46104</v>
      </c>
      <c r="O107" t="s">
        <v>395</v>
      </c>
      <c r="P107" t="s">
        <v>396</v>
      </c>
      <c r="Q107" t="s">
        <v>328</v>
      </c>
      <c r="R107" t="s">
        <v>310</v>
      </c>
      <c r="S107" t="s">
        <v>310</v>
      </c>
      <c r="T107" t="s">
        <v>732</v>
      </c>
      <c r="U107">
        <v>0</v>
      </c>
      <c r="V107">
        <v>3804</v>
      </c>
      <c r="W107">
        <v>0</v>
      </c>
      <c r="X107">
        <v>0</v>
      </c>
      <c r="Y107">
        <v>3804</v>
      </c>
      <c r="Z107">
        <v>0</v>
      </c>
      <c r="AA107" t="s">
        <v>204</v>
      </c>
      <c r="AB107">
        <v>3804</v>
      </c>
      <c r="AC107">
        <v>2400</v>
      </c>
      <c r="AD107">
        <v>2400</v>
      </c>
      <c r="AE107">
        <v>2400</v>
      </c>
      <c r="AF107">
        <v>0</v>
      </c>
      <c r="AG107">
        <v>0</v>
      </c>
      <c r="AH107" t="s">
        <v>312</v>
      </c>
      <c r="AI107" t="s">
        <v>312</v>
      </c>
      <c r="AJ107" t="s">
        <v>312</v>
      </c>
      <c r="AK107">
        <v>0</v>
      </c>
      <c r="AL107">
        <v>3804</v>
      </c>
      <c r="AM107">
        <v>3043.2000000000003</v>
      </c>
      <c r="AN107">
        <v>760.80000000000007</v>
      </c>
      <c r="AO107">
        <v>3804.0000000000005</v>
      </c>
      <c r="AP107">
        <v>2400</v>
      </c>
      <c r="AQ107">
        <v>2400</v>
      </c>
      <c r="AR107">
        <v>3804</v>
      </c>
      <c r="AS107">
        <v>1920</v>
      </c>
      <c r="AT107">
        <v>0</v>
      </c>
      <c r="AU107">
        <v>46105</v>
      </c>
      <c r="AV107">
        <v>46148</v>
      </c>
      <c r="AW107" t="s">
        <v>204</v>
      </c>
      <c r="AX107">
        <v>0</v>
      </c>
      <c r="AY107">
        <v>480</v>
      </c>
      <c r="AZ107" t="s">
        <v>313</v>
      </c>
      <c r="BD107">
        <v>1</v>
      </c>
      <c r="BE107">
        <v>44</v>
      </c>
      <c r="BF107" t="s">
        <v>314</v>
      </c>
      <c r="BG107" t="s">
        <v>155</v>
      </c>
      <c r="BH107">
        <v>3043.2000000000003</v>
      </c>
      <c r="BI107">
        <v>46115</v>
      </c>
      <c r="BJ107">
        <v>11</v>
      </c>
      <c r="BK107">
        <v>760.80000000000007</v>
      </c>
      <c r="BL107">
        <v>46213</v>
      </c>
      <c r="BM107">
        <v>109</v>
      </c>
      <c r="BN107">
        <v>3804.0000000000005</v>
      </c>
      <c r="BO107">
        <v>0</v>
      </c>
      <c r="BP107" t="str">
        <f t="shared" si="1"/>
        <v>TMEIPRAN</v>
      </c>
    </row>
    <row r="108" spans="1:68" x14ac:dyDescent="0.25">
      <c r="A108" t="s">
        <v>741</v>
      </c>
      <c r="B108" t="s">
        <v>742</v>
      </c>
      <c r="C108" t="s">
        <v>743</v>
      </c>
      <c r="D108">
        <v>2932.56</v>
      </c>
      <c r="E108">
        <v>3804</v>
      </c>
      <c r="F108">
        <v>46111</v>
      </c>
      <c r="G108" t="s">
        <v>152</v>
      </c>
      <c r="H108" t="s">
        <v>608</v>
      </c>
      <c r="I108" t="s">
        <v>744</v>
      </c>
      <c r="J108" t="s">
        <v>306</v>
      </c>
      <c r="K108" t="s">
        <v>307</v>
      </c>
      <c r="L108">
        <v>46104</v>
      </c>
      <c r="M108">
        <v>46104</v>
      </c>
      <c r="N108">
        <v>46104</v>
      </c>
      <c r="O108" t="s">
        <v>395</v>
      </c>
      <c r="P108" t="s">
        <v>396</v>
      </c>
      <c r="Q108" t="s">
        <v>328</v>
      </c>
      <c r="R108" t="s">
        <v>310</v>
      </c>
      <c r="S108" t="s">
        <v>310</v>
      </c>
      <c r="T108" t="s">
        <v>732</v>
      </c>
      <c r="U108">
        <v>0</v>
      </c>
      <c r="V108">
        <v>3804</v>
      </c>
      <c r="W108">
        <v>0</v>
      </c>
      <c r="X108">
        <v>0</v>
      </c>
      <c r="Y108">
        <v>3804</v>
      </c>
      <c r="Z108">
        <v>0</v>
      </c>
      <c r="AA108" t="s">
        <v>204</v>
      </c>
      <c r="AB108">
        <v>3804</v>
      </c>
      <c r="AC108">
        <v>2400</v>
      </c>
      <c r="AD108">
        <v>2400</v>
      </c>
      <c r="AE108">
        <v>2400</v>
      </c>
      <c r="AF108">
        <v>0</v>
      </c>
      <c r="AG108">
        <v>0</v>
      </c>
      <c r="AH108" t="s">
        <v>312</v>
      </c>
      <c r="AI108" t="s">
        <v>312</v>
      </c>
      <c r="AJ108" t="s">
        <v>312</v>
      </c>
      <c r="AK108">
        <v>0</v>
      </c>
      <c r="AL108">
        <v>3804</v>
      </c>
      <c r="AM108">
        <v>3043.2000000000003</v>
      </c>
      <c r="AN108">
        <v>760.80000000000007</v>
      </c>
      <c r="AO108">
        <v>3804.0000000000005</v>
      </c>
      <c r="AP108">
        <v>2400</v>
      </c>
      <c r="AQ108">
        <v>2400</v>
      </c>
      <c r="AR108">
        <v>3804</v>
      </c>
      <c r="AS108">
        <v>1920</v>
      </c>
      <c r="AT108">
        <v>0</v>
      </c>
      <c r="AU108">
        <v>46105</v>
      </c>
      <c r="AV108">
        <v>46148</v>
      </c>
      <c r="AW108" t="s">
        <v>204</v>
      </c>
      <c r="AX108">
        <v>0</v>
      </c>
      <c r="AY108">
        <v>480</v>
      </c>
      <c r="AZ108" t="s">
        <v>313</v>
      </c>
      <c r="BD108">
        <v>1</v>
      </c>
      <c r="BE108">
        <v>44</v>
      </c>
      <c r="BF108" t="s">
        <v>314</v>
      </c>
      <c r="BG108" t="s">
        <v>155</v>
      </c>
      <c r="BH108">
        <v>3043.2000000000003</v>
      </c>
      <c r="BI108">
        <v>46115</v>
      </c>
      <c r="BJ108">
        <v>11</v>
      </c>
      <c r="BK108">
        <v>760.80000000000007</v>
      </c>
      <c r="BL108">
        <v>46213</v>
      </c>
      <c r="BM108">
        <v>109</v>
      </c>
      <c r="BN108">
        <v>3804.0000000000005</v>
      </c>
      <c r="BO108">
        <v>0</v>
      </c>
      <c r="BP108" t="str">
        <f t="shared" si="1"/>
        <v>TMEIPRAN</v>
      </c>
    </row>
    <row r="109" spans="1:68" x14ac:dyDescent="0.25">
      <c r="A109" t="s">
        <v>745</v>
      </c>
      <c r="B109" t="s">
        <v>746</v>
      </c>
      <c r="C109" t="s">
        <v>747</v>
      </c>
      <c r="D109">
        <v>2050.4700000000003</v>
      </c>
      <c r="E109">
        <v>2783</v>
      </c>
      <c r="F109">
        <v>46111</v>
      </c>
      <c r="G109" t="s">
        <v>152</v>
      </c>
      <c r="H109" t="s">
        <v>608</v>
      </c>
      <c r="I109" t="s">
        <v>677</v>
      </c>
      <c r="J109" t="s">
        <v>306</v>
      </c>
      <c r="K109" t="s">
        <v>307</v>
      </c>
      <c r="L109">
        <v>46104</v>
      </c>
      <c r="M109">
        <v>46104</v>
      </c>
      <c r="N109">
        <v>46104</v>
      </c>
      <c r="O109" t="s">
        <v>395</v>
      </c>
      <c r="P109" t="s">
        <v>396</v>
      </c>
      <c r="Q109" t="s">
        <v>328</v>
      </c>
      <c r="R109" t="s">
        <v>310</v>
      </c>
      <c r="S109" t="s">
        <v>310</v>
      </c>
      <c r="T109" t="s">
        <v>732</v>
      </c>
      <c r="U109">
        <v>0</v>
      </c>
      <c r="V109">
        <v>1413</v>
      </c>
      <c r="W109">
        <v>1370</v>
      </c>
      <c r="X109">
        <v>0</v>
      </c>
      <c r="Y109">
        <v>2783</v>
      </c>
      <c r="Z109">
        <v>0</v>
      </c>
      <c r="AA109" t="s">
        <v>204</v>
      </c>
      <c r="AB109">
        <v>2783</v>
      </c>
      <c r="AC109">
        <v>1800</v>
      </c>
      <c r="AD109">
        <v>1630</v>
      </c>
      <c r="AE109">
        <v>1630</v>
      </c>
      <c r="AF109">
        <v>0</v>
      </c>
      <c r="AG109">
        <v>0</v>
      </c>
      <c r="AH109" t="s">
        <v>312</v>
      </c>
      <c r="AI109" t="s">
        <v>312</v>
      </c>
      <c r="AJ109" t="s">
        <v>312</v>
      </c>
      <c r="AK109">
        <v>0</v>
      </c>
      <c r="AL109">
        <v>2783</v>
      </c>
      <c r="AM109">
        <v>2500.4</v>
      </c>
      <c r="AN109">
        <v>0</v>
      </c>
      <c r="AO109">
        <v>2500.4</v>
      </c>
      <c r="AP109">
        <v>1630</v>
      </c>
      <c r="AQ109">
        <v>1630</v>
      </c>
      <c r="AR109">
        <v>2500.3999999999996</v>
      </c>
      <c r="AS109">
        <v>1304</v>
      </c>
      <c r="AT109">
        <v>0</v>
      </c>
      <c r="AU109">
        <v>46105</v>
      </c>
      <c r="AW109" t="s">
        <v>204</v>
      </c>
      <c r="AX109">
        <v>282.60000000000036</v>
      </c>
      <c r="AY109">
        <v>326</v>
      </c>
      <c r="AZ109" t="s">
        <v>313</v>
      </c>
      <c r="BD109">
        <v>1</v>
      </c>
      <c r="BF109" t="s">
        <v>314</v>
      </c>
      <c r="BG109" t="s">
        <v>155</v>
      </c>
      <c r="BH109">
        <v>2500.4</v>
      </c>
      <c r="BI109">
        <v>46115</v>
      </c>
      <c r="BJ109">
        <v>11</v>
      </c>
      <c r="BK109">
        <v>0</v>
      </c>
      <c r="BN109">
        <v>2500.4</v>
      </c>
      <c r="BO109">
        <v>282.59999999999991</v>
      </c>
      <c r="BP109" t="str">
        <f t="shared" si="1"/>
        <v>TMEIPRAN</v>
      </c>
    </row>
    <row r="110" spans="1:68" x14ac:dyDescent="0.25">
      <c r="A110" t="s">
        <v>748</v>
      </c>
      <c r="B110" t="s">
        <v>749</v>
      </c>
      <c r="C110" t="s">
        <v>750</v>
      </c>
      <c r="D110">
        <v>1537.29</v>
      </c>
      <c r="E110">
        <v>2081</v>
      </c>
      <c r="F110">
        <v>46111</v>
      </c>
      <c r="G110" t="s">
        <v>152</v>
      </c>
      <c r="H110" t="s">
        <v>373</v>
      </c>
      <c r="I110" t="s">
        <v>751</v>
      </c>
      <c r="J110" t="s">
        <v>306</v>
      </c>
      <c r="K110" t="s">
        <v>307</v>
      </c>
      <c r="L110">
        <v>46099</v>
      </c>
      <c r="M110">
        <v>46099</v>
      </c>
      <c r="N110">
        <v>46099</v>
      </c>
      <c r="O110" t="s">
        <v>395</v>
      </c>
      <c r="P110" t="s">
        <v>396</v>
      </c>
      <c r="Q110" t="s">
        <v>328</v>
      </c>
      <c r="R110" t="s">
        <v>310</v>
      </c>
      <c r="S110" t="s">
        <v>310</v>
      </c>
      <c r="T110" t="s">
        <v>699</v>
      </c>
      <c r="U110">
        <v>1861</v>
      </c>
      <c r="V110">
        <v>2432</v>
      </c>
      <c r="W110">
        <v>1370</v>
      </c>
      <c r="X110">
        <v>111</v>
      </c>
      <c r="Y110">
        <v>5774</v>
      </c>
      <c r="Z110">
        <v>0</v>
      </c>
      <c r="AA110" t="s">
        <v>204</v>
      </c>
      <c r="AB110">
        <v>5774</v>
      </c>
      <c r="AC110">
        <v>1350</v>
      </c>
      <c r="AD110">
        <v>3010</v>
      </c>
      <c r="AE110">
        <v>3010</v>
      </c>
      <c r="AF110">
        <v>0</v>
      </c>
      <c r="AG110">
        <v>0</v>
      </c>
      <c r="AH110" t="s">
        <v>312</v>
      </c>
      <c r="AI110" t="s">
        <v>312</v>
      </c>
      <c r="AJ110" t="s">
        <v>312</v>
      </c>
      <c r="AK110">
        <v>0</v>
      </c>
      <c r="AL110">
        <v>5774</v>
      </c>
      <c r="AM110">
        <v>5287.6</v>
      </c>
      <c r="AN110">
        <v>0</v>
      </c>
      <c r="AO110">
        <v>5287.6</v>
      </c>
      <c r="AP110">
        <v>3010</v>
      </c>
      <c r="AQ110">
        <v>3010</v>
      </c>
      <c r="AR110">
        <v>5287.6</v>
      </c>
      <c r="AS110">
        <v>2408</v>
      </c>
      <c r="AT110">
        <v>0</v>
      </c>
      <c r="AU110">
        <v>46100</v>
      </c>
      <c r="AV110">
        <v>46119</v>
      </c>
      <c r="AW110" t="s">
        <v>204</v>
      </c>
      <c r="AX110">
        <v>486.39999999999964</v>
      </c>
      <c r="AY110">
        <v>602</v>
      </c>
      <c r="AZ110" t="s">
        <v>313</v>
      </c>
      <c r="BD110">
        <v>1</v>
      </c>
      <c r="BE110">
        <v>20</v>
      </c>
      <c r="BF110" t="s">
        <v>314</v>
      </c>
      <c r="BG110" t="s">
        <v>155</v>
      </c>
      <c r="BH110">
        <v>5287.6</v>
      </c>
      <c r="BI110">
        <v>46115</v>
      </c>
      <c r="BJ110">
        <v>16</v>
      </c>
      <c r="BK110">
        <v>0</v>
      </c>
      <c r="BN110">
        <v>5287.6</v>
      </c>
      <c r="BO110">
        <v>486.39999999999964</v>
      </c>
      <c r="BP110" t="str">
        <f t="shared" si="1"/>
        <v>TMEIPRAN</v>
      </c>
    </row>
    <row r="111" spans="1:68" x14ac:dyDescent="0.25">
      <c r="A111" t="s">
        <v>752</v>
      </c>
      <c r="B111" t="s">
        <v>753</v>
      </c>
      <c r="C111" t="s">
        <v>754</v>
      </c>
      <c r="D111">
        <v>4636.1099999999997</v>
      </c>
      <c r="E111">
        <v>5972.2</v>
      </c>
      <c r="F111">
        <v>46111</v>
      </c>
      <c r="G111" t="s">
        <v>152</v>
      </c>
      <c r="H111" t="s">
        <v>393</v>
      </c>
      <c r="I111" t="s">
        <v>755</v>
      </c>
      <c r="J111" t="s">
        <v>306</v>
      </c>
      <c r="K111" t="s">
        <v>307</v>
      </c>
      <c r="L111">
        <v>46101</v>
      </c>
      <c r="M111">
        <v>46101</v>
      </c>
      <c r="N111">
        <v>46101</v>
      </c>
      <c r="O111" t="s">
        <v>395</v>
      </c>
      <c r="P111" t="s">
        <v>396</v>
      </c>
      <c r="Q111" t="s">
        <v>328</v>
      </c>
      <c r="R111" t="s">
        <v>310</v>
      </c>
      <c r="S111" t="s">
        <v>310</v>
      </c>
      <c r="T111" t="s">
        <v>699</v>
      </c>
      <c r="U111">
        <v>0</v>
      </c>
      <c r="V111">
        <v>4370.2</v>
      </c>
      <c r="W111">
        <v>1370</v>
      </c>
      <c r="X111">
        <v>232</v>
      </c>
      <c r="Y111">
        <v>5972.2</v>
      </c>
      <c r="Z111">
        <v>0</v>
      </c>
      <c r="AA111" t="s">
        <v>204</v>
      </c>
      <c r="AB111">
        <v>5972.2</v>
      </c>
      <c r="AC111">
        <v>3800</v>
      </c>
      <c r="AD111">
        <v>3270</v>
      </c>
      <c r="AE111">
        <v>3270</v>
      </c>
      <c r="AF111">
        <v>0</v>
      </c>
      <c r="AG111">
        <v>0</v>
      </c>
      <c r="AH111" t="s">
        <v>312</v>
      </c>
      <c r="AI111" t="s">
        <v>312</v>
      </c>
      <c r="AJ111" t="s">
        <v>312</v>
      </c>
      <c r="AK111">
        <v>0</v>
      </c>
      <c r="AL111">
        <v>5972.2</v>
      </c>
      <c r="AM111">
        <v>5098.16</v>
      </c>
      <c r="AN111">
        <v>874.04</v>
      </c>
      <c r="AO111">
        <v>5972.2</v>
      </c>
      <c r="AP111">
        <v>3270</v>
      </c>
      <c r="AQ111">
        <v>3270</v>
      </c>
      <c r="AR111">
        <v>5972.2</v>
      </c>
      <c r="AS111">
        <v>2616</v>
      </c>
      <c r="AT111">
        <v>0</v>
      </c>
      <c r="AU111">
        <v>46101</v>
      </c>
      <c r="AV111">
        <v>46113</v>
      </c>
      <c r="AW111" t="s">
        <v>204</v>
      </c>
      <c r="AX111">
        <v>0</v>
      </c>
      <c r="AY111">
        <v>654</v>
      </c>
      <c r="AZ111" t="s">
        <v>313</v>
      </c>
      <c r="BD111">
        <v>0</v>
      </c>
      <c r="BE111">
        <v>12</v>
      </c>
      <c r="BF111" t="s">
        <v>314</v>
      </c>
      <c r="BG111" t="s">
        <v>155</v>
      </c>
      <c r="BH111">
        <v>5098.16</v>
      </c>
      <c r="BI111">
        <v>46150</v>
      </c>
      <c r="BJ111">
        <v>49</v>
      </c>
      <c r="BK111">
        <v>874.04</v>
      </c>
      <c r="BL111">
        <v>46213</v>
      </c>
      <c r="BM111">
        <v>112</v>
      </c>
      <c r="BN111">
        <v>5972.2</v>
      </c>
      <c r="BO111">
        <v>0</v>
      </c>
      <c r="BP111" t="str">
        <f t="shared" si="1"/>
        <v>TMEIPRAN</v>
      </c>
    </row>
    <row r="112" spans="1:68" x14ac:dyDescent="0.25">
      <c r="A112" t="s">
        <v>756</v>
      </c>
      <c r="B112" t="s">
        <v>757</v>
      </c>
      <c r="C112" t="s">
        <v>758</v>
      </c>
      <c r="D112">
        <v>1466.28</v>
      </c>
      <c r="E112">
        <v>1902</v>
      </c>
      <c r="F112">
        <v>46111</v>
      </c>
      <c r="G112" t="s">
        <v>152</v>
      </c>
      <c r="H112" t="s">
        <v>608</v>
      </c>
      <c r="I112" t="s">
        <v>759</v>
      </c>
      <c r="J112" t="s">
        <v>306</v>
      </c>
      <c r="K112" t="s">
        <v>307</v>
      </c>
      <c r="L112">
        <v>46101</v>
      </c>
      <c r="M112">
        <v>46101</v>
      </c>
      <c r="N112">
        <v>46101</v>
      </c>
      <c r="O112" t="s">
        <v>395</v>
      </c>
      <c r="P112" t="s">
        <v>396</v>
      </c>
      <c r="Q112" t="s">
        <v>328</v>
      </c>
      <c r="R112" t="s">
        <v>310</v>
      </c>
      <c r="S112" t="s">
        <v>310</v>
      </c>
      <c r="T112" t="s">
        <v>699</v>
      </c>
      <c r="U112">
        <v>0</v>
      </c>
      <c r="V112">
        <v>1902</v>
      </c>
      <c r="W112">
        <v>0</v>
      </c>
      <c r="X112">
        <v>0</v>
      </c>
      <c r="Y112">
        <v>1902</v>
      </c>
      <c r="Z112">
        <v>0</v>
      </c>
      <c r="AA112" t="s">
        <v>204</v>
      </c>
      <c r="AB112">
        <v>1902</v>
      </c>
      <c r="AC112">
        <v>1200</v>
      </c>
      <c r="AD112">
        <v>1200</v>
      </c>
      <c r="AE112">
        <v>1200</v>
      </c>
      <c r="AF112">
        <v>0</v>
      </c>
      <c r="AG112">
        <v>0</v>
      </c>
      <c r="AH112" t="s">
        <v>312</v>
      </c>
      <c r="AI112" t="s">
        <v>312</v>
      </c>
      <c r="AJ112" t="s">
        <v>312</v>
      </c>
      <c r="AK112">
        <v>0</v>
      </c>
      <c r="AL112">
        <v>1902</v>
      </c>
      <c r="AM112">
        <v>1521.6000000000001</v>
      </c>
      <c r="AN112">
        <v>0</v>
      </c>
      <c r="AO112">
        <v>1521.6000000000001</v>
      </c>
      <c r="AP112">
        <v>1200</v>
      </c>
      <c r="AQ112">
        <v>1200</v>
      </c>
      <c r="AR112">
        <v>1521.6</v>
      </c>
      <c r="AS112">
        <v>0</v>
      </c>
      <c r="AT112">
        <v>0</v>
      </c>
      <c r="AU112">
        <v>46101</v>
      </c>
      <c r="AV112">
        <v>46176</v>
      </c>
      <c r="AW112" t="s">
        <v>204</v>
      </c>
      <c r="AX112">
        <v>380.40000000000009</v>
      </c>
      <c r="AY112">
        <v>1200</v>
      </c>
      <c r="AZ112" t="s">
        <v>313</v>
      </c>
      <c r="BD112">
        <v>0</v>
      </c>
      <c r="BE112">
        <v>75</v>
      </c>
      <c r="BF112" t="s">
        <v>314</v>
      </c>
      <c r="BG112" t="s">
        <v>155</v>
      </c>
      <c r="BH112">
        <v>1521.6000000000001</v>
      </c>
      <c r="BI112">
        <v>46180</v>
      </c>
      <c r="BJ112">
        <v>79</v>
      </c>
      <c r="BK112">
        <v>380.40000000000003</v>
      </c>
      <c r="BL112">
        <v>46234</v>
      </c>
      <c r="BM112">
        <v>133</v>
      </c>
      <c r="BN112">
        <v>1902.0000000000002</v>
      </c>
      <c r="BO112">
        <v>0</v>
      </c>
      <c r="BP112" t="str">
        <f t="shared" si="1"/>
        <v>TMEIPRAN</v>
      </c>
    </row>
    <row r="113" spans="1:68" x14ac:dyDescent="0.25">
      <c r="A113" t="s">
        <v>760</v>
      </c>
      <c r="B113" t="s">
        <v>761</v>
      </c>
      <c r="C113" t="s">
        <v>762</v>
      </c>
      <c r="D113">
        <v>1466.28</v>
      </c>
      <c r="E113">
        <v>1902</v>
      </c>
      <c r="F113">
        <v>46111</v>
      </c>
      <c r="G113" t="s">
        <v>152</v>
      </c>
      <c r="H113" t="s">
        <v>608</v>
      </c>
      <c r="I113" t="s">
        <v>755</v>
      </c>
      <c r="J113" t="s">
        <v>306</v>
      </c>
      <c r="K113" t="s">
        <v>307</v>
      </c>
      <c r="L113">
        <v>46101</v>
      </c>
      <c r="M113">
        <v>46101</v>
      </c>
      <c r="N113">
        <v>46101</v>
      </c>
      <c r="O113" t="s">
        <v>395</v>
      </c>
      <c r="P113" t="s">
        <v>396</v>
      </c>
      <c r="Q113" t="s">
        <v>328</v>
      </c>
      <c r="R113" t="s">
        <v>310</v>
      </c>
      <c r="S113" t="s">
        <v>310</v>
      </c>
      <c r="T113" t="s">
        <v>699</v>
      </c>
      <c r="U113">
        <v>0</v>
      </c>
      <c r="V113">
        <v>1902</v>
      </c>
      <c r="W113">
        <v>0</v>
      </c>
      <c r="X113">
        <v>0</v>
      </c>
      <c r="Y113">
        <v>1902</v>
      </c>
      <c r="Z113">
        <v>0</v>
      </c>
      <c r="AA113" t="s">
        <v>204</v>
      </c>
      <c r="AB113">
        <v>1902</v>
      </c>
      <c r="AC113">
        <v>1200</v>
      </c>
      <c r="AD113">
        <v>1200</v>
      </c>
      <c r="AE113">
        <v>1200</v>
      </c>
      <c r="AF113">
        <v>0</v>
      </c>
      <c r="AG113">
        <v>0</v>
      </c>
      <c r="AH113" t="s">
        <v>312</v>
      </c>
      <c r="AI113" t="s">
        <v>312</v>
      </c>
      <c r="AJ113" t="s">
        <v>312</v>
      </c>
      <c r="AK113">
        <v>0</v>
      </c>
      <c r="AL113">
        <v>1902</v>
      </c>
      <c r="AM113">
        <v>1521.6000000000001</v>
      </c>
      <c r="AN113">
        <v>0</v>
      </c>
      <c r="AO113">
        <v>1521.6000000000001</v>
      </c>
      <c r="AP113">
        <v>1200</v>
      </c>
      <c r="AQ113">
        <v>1200</v>
      </c>
      <c r="AR113">
        <v>1521.6</v>
      </c>
      <c r="AS113">
        <v>960</v>
      </c>
      <c r="AT113">
        <v>0</v>
      </c>
      <c r="AU113">
        <v>46101</v>
      </c>
      <c r="AV113">
        <v>46176</v>
      </c>
      <c r="AW113" t="s">
        <v>204</v>
      </c>
      <c r="AX113">
        <v>380.40000000000009</v>
      </c>
      <c r="AY113">
        <v>240</v>
      </c>
      <c r="AZ113" t="s">
        <v>313</v>
      </c>
      <c r="BD113">
        <v>0</v>
      </c>
      <c r="BE113">
        <v>75</v>
      </c>
      <c r="BF113" t="s">
        <v>314</v>
      </c>
      <c r="BG113" t="s">
        <v>155</v>
      </c>
      <c r="BH113">
        <v>1521.6000000000001</v>
      </c>
      <c r="BI113">
        <v>46180</v>
      </c>
      <c r="BJ113">
        <v>79</v>
      </c>
      <c r="BK113">
        <v>380.40000000000003</v>
      </c>
      <c r="BL113">
        <v>46234</v>
      </c>
      <c r="BM113">
        <v>133</v>
      </c>
      <c r="BN113">
        <v>1902.0000000000002</v>
      </c>
      <c r="BO113">
        <v>0</v>
      </c>
      <c r="BP113" t="str">
        <f t="shared" si="1"/>
        <v>TMEIPRAN</v>
      </c>
    </row>
    <row r="114" spans="1:68" x14ac:dyDescent="0.25">
      <c r="A114" t="s">
        <v>763</v>
      </c>
      <c r="B114" t="s">
        <v>764</v>
      </c>
      <c r="C114" t="s">
        <v>765</v>
      </c>
      <c r="D114">
        <v>2932.56</v>
      </c>
      <c r="E114">
        <v>3804</v>
      </c>
      <c r="F114">
        <v>46103</v>
      </c>
      <c r="G114" t="s">
        <v>152</v>
      </c>
      <c r="H114" t="s">
        <v>608</v>
      </c>
      <c r="I114" t="s">
        <v>766</v>
      </c>
      <c r="J114" t="s">
        <v>306</v>
      </c>
      <c r="K114" t="s">
        <v>307</v>
      </c>
      <c r="L114">
        <v>46106</v>
      </c>
      <c r="M114">
        <v>46106</v>
      </c>
      <c r="N114">
        <v>46106</v>
      </c>
      <c r="O114" t="s">
        <v>395</v>
      </c>
      <c r="P114" t="s">
        <v>396</v>
      </c>
      <c r="Q114" t="s">
        <v>328</v>
      </c>
      <c r="R114" t="s">
        <v>310</v>
      </c>
      <c r="S114" t="s">
        <v>310</v>
      </c>
      <c r="T114" t="s">
        <v>732</v>
      </c>
      <c r="U114">
        <v>0</v>
      </c>
      <c r="V114">
        <v>3804</v>
      </c>
      <c r="W114">
        <v>0</v>
      </c>
      <c r="X114">
        <v>0</v>
      </c>
      <c r="Y114">
        <v>3804</v>
      </c>
      <c r="Z114">
        <v>0</v>
      </c>
      <c r="AA114" t="s">
        <v>204</v>
      </c>
      <c r="AB114">
        <v>3804</v>
      </c>
      <c r="AC114">
        <v>2400</v>
      </c>
      <c r="AD114">
        <v>2400</v>
      </c>
      <c r="AE114">
        <v>2400</v>
      </c>
      <c r="AF114">
        <v>0</v>
      </c>
      <c r="AG114">
        <v>0</v>
      </c>
      <c r="AH114" t="s">
        <v>312</v>
      </c>
      <c r="AI114" t="s">
        <v>312</v>
      </c>
      <c r="AJ114" t="s">
        <v>312</v>
      </c>
      <c r="AK114">
        <v>0</v>
      </c>
      <c r="AL114">
        <v>3804</v>
      </c>
      <c r="AM114">
        <v>3043.2000000000003</v>
      </c>
      <c r="AN114">
        <v>0</v>
      </c>
      <c r="AO114">
        <v>3043.2000000000003</v>
      </c>
      <c r="AP114">
        <v>2400</v>
      </c>
      <c r="AQ114">
        <v>2400</v>
      </c>
      <c r="AR114">
        <v>3043.2</v>
      </c>
      <c r="AS114">
        <v>2400</v>
      </c>
      <c r="AT114">
        <v>0</v>
      </c>
      <c r="AU114">
        <v>46107</v>
      </c>
      <c r="AV114">
        <v>46107</v>
      </c>
      <c r="AW114" t="s">
        <v>204</v>
      </c>
      <c r="AX114">
        <v>760.80000000000018</v>
      </c>
      <c r="AY114">
        <v>0</v>
      </c>
      <c r="AZ114" t="s">
        <v>313</v>
      </c>
      <c r="BD114">
        <v>1</v>
      </c>
      <c r="BE114">
        <v>1</v>
      </c>
      <c r="BF114" t="s">
        <v>314</v>
      </c>
      <c r="BG114" t="s">
        <v>155</v>
      </c>
      <c r="BH114">
        <v>3043.2000000000003</v>
      </c>
      <c r="BI114">
        <v>46115</v>
      </c>
      <c r="BJ114">
        <v>9</v>
      </c>
      <c r="BK114">
        <v>760.80000000000007</v>
      </c>
      <c r="BL114">
        <v>46230</v>
      </c>
      <c r="BM114">
        <v>124</v>
      </c>
      <c r="BN114">
        <v>3804.0000000000005</v>
      </c>
      <c r="BO114">
        <v>0</v>
      </c>
      <c r="BP114" t="str">
        <f t="shared" si="1"/>
        <v>TMEIPRAN</v>
      </c>
    </row>
    <row r="115" spans="1:68" x14ac:dyDescent="0.25">
      <c r="B115" t="s">
        <v>767</v>
      </c>
      <c r="C115" t="s">
        <v>768</v>
      </c>
      <c r="F115">
        <v>46108</v>
      </c>
      <c r="G115" t="s">
        <v>152</v>
      </c>
      <c r="H115" t="s">
        <v>608</v>
      </c>
      <c r="I115" t="s">
        <v>769</v>
      </c>
      <c r="J115" t="s">
        <v>306</v>
      </c>
      <c r="K115" t="s">
        <v>307</v>
      </c>
      <c r="L115">
        <v>46106</v>
      </c>
      <c r="M115">
        <v>46106</v>
      </c>
      <c r="N115">
        <v>46106</v>
      </c>
      <c r="O115" t="s">
        <v>395</v>
      </c>
      <c r="P115" t="s">
        <v>396</v>
      </c>
      <c r="Q115" t="s">
        <v>328</v>
      </c>
      <c r="R115" t="s">
        <v>310</v>
      </c>
      <c r="S115" t="s">
        <v>310</v>
      </c>
      <c r="T115" t="s">
        <v>732</v>
      </c>
      <c r="AC115">
        <v>2400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46106</v>
      </c>
      <c r="AV115">
        <v>46107</v>
      </c>
      <c r="AW115" t="s">
        <v>204</v>
      </c>
      <c r="AX115">
        <v>0</v>
      </c>
      <c r="AY115">
        <v>0</v>
      </c>
      <c r="AZ115" t="s">
        <v>313</v>
      </c>
      <c r="BD115">
        <v>0</v>
      </c>
      <c r="BE115">
        <v>1</v>
      </c>
      <c r="BF115" t="s">
        <v>314</v>
      </c>
      <c r="BG115" t="s">
        <v>155</v>
      </c>
      <c r="BH115">
        <v>0</v>
      </c>
      <c r="BK115">
        <v>0</v>
      </c>
      <c r="BN115">
        <v>0</v>
      </c>
      <c r="BO115">
        <v>0</v>
      </c>
      <c r="BP115" t="str">
        <f t="shared" si="1"/>
        <v>TMEIPRAN</v>
      </c>
    </row>
    <row r="116" spans="1:68" x14ac:dyDescent="0.25">
      <c r="B116" t="s">
        <v>770</v>
      </c>
      <c r="C116" t="s">
        <v>771</v>
      </c>
      <c r="F116">
        <v>46109</v>
      </c>
      <c r="G116" t="s">
        <v>152</v>
      </c>
      <c r="H116" t="s">
        <v>608</v>
      </c>
      <c r="I116" t="s">
        <v>772</v>
      </c>
      <c r="J116" t="s">
        <v>306</v>
      </c>
      <c r="K116" t="s">
        <v>307</v>
      </c>
      <c r="L116">
        <v>46106</v>
      </c>
      <c r="M116">
        <v>46106</v>
      </c>
      <c r="N116">
        <v>46106</v>
      </c>
      <c r="O116" t="s">
        <v>395</v>
      </c>
      <c r="P116" t="s">
        <v>396</v>
      </c>
      <c r="Q116" t="s">
        <v>328</v>
      </c>
      <c r="R116" t="s">
        <v>310</v>
      </c>
      <c r="S116" t="s">
        <v>310</v>
      </c>
      <c r="T116" t="s">
        <v>732</v>
      </c>
      <c r="AC116">
        <v>2400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46106</v>
      </c>
      <c r="AV116">
        <v>46107</v>
      </c>
      <c r="AW116" t="s">
        <v>204</v>
      </c>
      <c r="AX116">
        <v>0</v>
      </c>
      <c r="AY116">
        <v>0</v>
      </c>
      <c r="AZ116" t="s">
        <v>313</v>
      </c>
      <c r="BD116">
        <v>0</v>
      </c>
      <c r="BE116">
        <v>1</v>
      </c>
      <c r="BF116" t="s">
        <v>314</v>
      </c>
      <c r="BG116" t="s">
        <v>155</v>
      </c>
      <c r="BH116">
        <v>0</v>
      </c>
      <c r="BK116">
        <v>0</v>
      </c>
      <c r="BN116">
        <v>0</v>
      </c>
      <c r="BO116">
        <v>0</v>
      </c>
      <c r="BP116" t="str">
        <f t="shared" si="1"/>
        <v>TMEIPRAN</v>
      </c>
    </row>
    <row r="117" spans="1:68" x14ac:dyDescent="0.25">
      <c r="A117" t="s">
        <v>773</v>
      </c>
      <c r="B117" t="s">
        <v>774</v>
      </c>
      <c r="C117" t="s">
        <v>775</v>
      </c>
      <c r="D117">
        <v>3417.82</v>
      </c>
      <c r="E117">
        <v>4413</v>
      </c>
      <c r="F117">
        <v>46111</v>
      </c>
      <c r="G117" t="s">
        <v>152</v>
      </c>
      <c r="H117" t="s">
        <v>676</v>
      </c>
      <c r="I117" t="s">
        <v>776</v>
      </c>
      <c r="J117" t="s">
        <v>306</v>
      </c>
      <c r="K117" t="s">
        <v>307</v>
      </c>
      <c r="L117">
        <v>46107</v>
      </c>
      <c r="M117">
        <v>46107</v>
      </c>
      <c r="N117">
        <v>46107</v>
      </c>
      <c r="O117" t="s">
        <v>395</v>
      </c>
      <c r="P117" t="s">
        <v>396</v>
      </c>
      <c r="Q117" t="s">
        <v>328</v>
      </c>
      <c r="R117" t="s">
        <v>310</v>
      </c>
      <c r="S117" t="s">
        <v>310</v>
      </c>
      <c r="T117" t="s">
        <v>732</v>
      </c>
      <c r="U117">
        <v>0</v>
      </c>
      <c r="V117">
        <v>4413</v>
      </c>
      <c r="W117">
        <v>0</v>
      </c>
      <c r="X117">
        <v>0</v>
      </c>
      <c r="Y117">
        <v>4413</v>
      </c>
      <c r="Z117">
        <v>0</v>
      </c>
      <c r="AA117" t="s">
        <v>204</v>
      </c>
      <c r="AB117">
        <v>4413</v>
      </c>
      <c r="AC117">
        <v>2800</v>
      </c>
      <c r="AD117">
        <v>2800</v>
      </c>
      <c r="AE117">
        <v>2800</v>
      </c>
      <c r="AF117">
        <v>0</v>
      </c>
      <c r="AG117">
        <v>0</v>
      </c>
      <c r="AH117" t="s">
        <v>312</v>
      </c>
      <c r="AI117" t="s">
        <v>312</v>
      </c>
      <c r="AJ117" t="s">
        <v>312</v>
      </c>
      <c r="AK117">
        <v>0</v>
      </c>
      <c r="AL117">
        <v>4413</v>
      </c>
      <c r="AM117">
        <v>3530.4000000000005</v>
      </c>
      <c r="AN117">
        <v>0</v>
      </c>
      <c r="AO117">
        <v>3530.4000000000005</v>
      </c>
      <c r="AP117">
        <v>2800</v>
      </c>
      <c r="AQ117">
        <v>2800</v>
      </c>
      <c r="AR117">
        <v>3530.3999999999996</v>
      </c>
      <c r="AS117">
        <v>2240</v>
      </c>
      <c r="AT117">
        <v>0</v>
      </c>
      <c r="AU117">
        <v>46108</v>
      </c>
      <c r="AV117">
        <v>46111</v>
      </c>
      <c r="AW117" t="s">
        <v>204</v>
      </c>
      <c r="AX117">
        <v>882.60000000000036</v>
      </c>
      <c r="AY117">
        <v>560</v>
      </c>
      <c r="AZ117" t="s">
        <v>313</v>
      </c>
      <c r="BD117">
        <v>1</v>
      </c>
      <c r="BE117">
        <v>4</v>
      </c>
      <c r="BF117" t="s">
        <v>314</v>
      </c>
      <c r="BG117" t="s">
        <v>155</v>
      </c>
      <c r="BH117">
        <v>3530.4000000000005</v>
      </c>
      <c r="BI117">
        <v>46115</v>
      </c>
      <c r="BJ117">
        <v>8</v>
      </c>
      <c r="BK117">
        <v>882.60000000000014</v>
      </c>
      <c r="BL117">
        <v>46230</v>
      </c>
      <c r="BM117">
        <v>123</v>
      </c>
      <c r="BN117">
        <v>4413.0000000000009</v>
      </c>
      <c r="BO117">
        <v>0</v>
      </c>
      <c r="BP117" t="str">
        <f t="shared" si="1"/>
        <v>TMEIPRAN</v>
      </c>
    </row>
    <row r="118" spans="1:68" x14ac:dyDescent="0.25">
      <c r="A118" t="s">
        <v>777</v>
      </c>
      <c r="B118" t="s">
        <v>778</v>
      </c>
      <c r="C118" t="s">
        <v>779</v>
      </c>
      <c r="D118">
        <v>2880.4</v>
      </c>
      <c r="E118">
        <v>3804</v>
      </c>
      <c r="F118">
        <v>46111</v>
      </c>
      <c r="G118" t="s">
        <v>152</v>
      </c>
      <c r="H118" t="s">
        <v>608</v>
      </c>
      <c r="I118" t="s">
        <v>780</v>
      </c>
      <c r="J118" t="s">
        <v>306</v>
      </c>
      <c r="K118" t="s">
        <v>307</v>
      </c>
      <c r="L118">
        <v>46106</v>
      </c>
      <c r="M118">
        <v>46106</v>
      </c>
      <c r="N118">
        <v>46106</v>
      </c>
      <c r="O118" t="s">
        <v>395</v>
      </c>
      <c r="P118" t="s">
        <v>396</v>
      </c>
      <c r="Q118" t="s">
        <v>328</v>
      </c>
      <c r="R118" t="s">
        <v>310</v>
      </c>
      <c r="S118" t="s">
        <v>310</v>
      </c>
      <c r="T118" t="s">
        <v>732</v>
      </c>
      <c r="U118">
        <v>0</v>
      </c>
      <c r="V118">
        <v>3804</v>
      </c>
      <c r="W118">
        <v>0</v>
      </c>
      <c r="X118">
        <v>0</v>
      </c>
      <c r="Y118">
        <v>3804</v>
      </c>
      <c r="Z118">
        <v>0</v>
      </c>
      <c r="AA118" t="s">
        <v>204</v>
      </c>
      <c r="AB118">
        <v>3804</v>
      </c>
      <c r="AC118">
        <v>2400</v>
      </c>
      <c r="AD118">
        <v>2400</v>
      </c>
      <c r="AE118">
        <v>2400</v>
      </c>
      <c r="AF118">
        <v>0</v>
      </c>
      <c r="AG118">
        <v>0</v>
      </c>
      <c r="AH118" t="s">
        <v>312</v>
      </c>
      <c r="AI118" t="s">
        <v>312</v>
      </c>
      <c r="AJ118" t="s">
        <v>312</v>
      </c>
      <c r="AK118">
        <v>0</v>
      </c>
      <c r="AL118">
        <v>3804</v>
      </c>
      <c r="AM118">
        <v>3043.2000000000003</v>
      </c>
      <c r="AN118">
        <v>760.80000000000007</v>
      </c>
      <c r="AO118">
        <v>3804.0000000000005</v>
      </c>
      <c r="AP118">
        <v>2400</v>
      </c>
      <c r="AQ118">
        <v>2400</v>
      </c>
      <c r="AR118">
        <v>3804</v>
      </c>
      <c r="AS118">
        <v>1920</v>
      </c>
      <c r="AT118">
        <v>0</v>
      </c>
      <c r="AU118">
        <v>46107</v>
      </c>
      <c r="AV118">
        <v>46148</v>
      </c>
      <c r="AW118" t="s">
        <v>204</v>
      </c>
      <c r="AX118">
        <v>0</v>
      </c>
      <c r="AY118">
        <v>480</v>
      </c>
      <c r="AZ118" t="s">
        <v>313</v>
      </c>
      <c r="BD118">
        <v>1</v>
      </c>
      <c r="BE118">
        <v>42</v>
      </c>
      <c r="BF118" t="s">
        <v>314</v>
      </c>
      <c r="BG118" t="s">
        <v>155</v>
      </c>
      <c r="BH118">
        <v>3043.2000000000003</v>
      </c>
      <c r="BI118">
        <v>46115</v>
      </c>
      <c r="BJ118">
        <v>9</v>
      </c>
      <c r="BK118">
        <v>760.80000000000007</v>
      </c>
      <c r="BL118">
        <v>46213</v>
      </c>
      <c r="BM118">
        <v>107</v>
      </c>
      <c r="BN118">
        <v>3804.0000000000005</v>
      </c>
      <c r="BO118">
        <v>0</v>
      </c>
      <c r="BP118" t="str">
        <f t="shared" si="1"/>
        <v>TMEIPRAN</v>
      </c>
    </row>
    <row r="119" spans="1:68" x14ac:dyDescent="0.25">
      <c r="A119" t="s">
        <v>781</v>
      </c>
      <c r="B119" t="s">
        <v>782</v>
      </c>
      <c r="C119" t="s">
        <v>783</v>
      </c>
      <c r="D119">
        <v>2050.4700000000003</v>
      </c>
      <c r="E119">
        <v>2783</v>
      </c>
      <c r="F119">
        <v>46111</v>
      </c>
      <c r="G119" t="s">
        <v>152</v>
      </c>
      <c r="H119" t="s">
        <v>608</v>
      </c>
      <c r="I119" t="s">
        <v>784</v>
      </c>
      <c r="J119" t="s">
        <v>306</v>
      </c>
      <c r="K119" t="s">
        <v>307</v>
      </c>
      <c r="L119">
        <v>46106</v>
      </c>
      <c r="M119">
        <v>46106</v>
      </c>
      <c r="N119">
        <v>46106</v>
      </c>
      <c r="O119" t="s">
        <v>395</v>
      </c>
      <c r="P119" t="s">
        <v>396</v>
      </c>
      <c r="Q119" t="s">
        <v>328</v>
      </c>
      <c r="R119" t="s">
        <v>310</v>
      </c>
      <c r="S119" t="s">
        <v>310</v>
      </c>
      <c r="T119" t="s">
        <v>732</v>
      </c>
      <c r="U119">
        <v>0</v>
      </c>
      <c r="V119">
        <v>1413</v>
      </c>
      <c r="W119">
        <v>1370</v>
      </c>
      <c r="X119">
        <v>0</v>
      </c>
      <c r="Y119">
        <v>2783</v>
      </c>
      <c r="Z119">
        <v>0</v>
      </c>
      <c r="AA119" t="s">
        <v>204</v>
      </c>
      <c r="AB119">
        <v>2783</v>
      </c>
      <c r="AC119">
        <v>1800</v>
      </c>
      <c r="AD119">
        <v>1630</v>
      </c>
      <c r="AE119">
        <v>1630</v>
      </c>
      <c r="AF119">
        <v>0</v>
      </c>
      <c r="AG119">
        <v>0</v>
      </c>
      <c r="AH119" t="s">
        <v>312</v>
      </c>
      <c r="AI119" t="s">
        <v>312</v>
      </c>
      <c r="AJ119" t="s">
        <v>312</v>
      </c>
      <c r="AK119">
        <v>0</v>
      </c>
      <c r="AL119">
        <v>2783</v>
      </c>
      <c r="AM119">
        <v>2500.4</v>
      </c>
      <c r="AN119">
        <v>0</v>
      </c>
      <c r="AO119">
        <v>2500.4</v>
      </c>
      <c r="AP119">
        <v>1630</v>
      </c>
      <c r="AQ119">
        <v>1630</v>
      </c>
      <c r="AR119">
        <v>2500.4</v>
      </c>
      <c r="AS119">
        <v>1304</v>
      </c>
      <c r="AT119">
        <v>0</v>
      </c>
      <c r="AU119">
        <v>46107</v>
      </c>
      <c r="AV119">
        <v>46118</v>
      </c>
      <c r="AW119" t="s">
        <v>204</v>
      </c>
      <c r="AX119">
        <v>282.59999999999991</v>
      </c>
      <c r="AY119">
        <v>326</v>
      </c>
      <c r="AZ119" t="s">
        <v>313</v>
      </c>
      <c r="BD119">
        <v>1</v>
      </c>
      <c r="BE119">
        <v>12</v>
      </c>
      <c r="BF119" t="s">
        <v>314</v>
      </c>
      <c r="BG119" t="s">
        <v>155</v>
      </c>
      <c r="BH119">
        <v>2500.4</v>
      </c>
      <c r="BI119">
        <v>46115</v>
      </c>
      <c r="BJ119">
        <v>9</v>
      </c>
      <c r="BK119">
        <v>0</v>
      </c>
      <c r="BN119">
        <v>2500.4</v>
      </c>
      <c r="BO119">
        <v>282.59999999999991</v>
      </c>
      <c r="BP119" t="str">
        <f t="shared" si="1"/>
        <v>TMEIPRAN</v>
      </c>
    </row>
    <row r="120" spans="1:68" x14ac:dyDescent="0.25">
      <c r="A120" t="s">
        <v>785</v>
      </c>
      <c r="B120" t="s">
        <v>786</v>
      </c>
      <c r="C120" t="s">
        <v>787</v>
      </c>
      <c r="D120">
        <v>13678.42</v>
      </c>
      <c r="E120">
        <v>16681</v>
      </c>
      <c r="F120">
        <v>46111</v>
      </c>
      <c r="G120" t="s">
        <v>159</v>
      </c>
      <c r="H120" t="s">
        <v>304</v>
      </c>
      <c r="I120" t="s">
        <v>788</v>
      </c>
      <c r="J120" t="s">
        <v>306</v>
      </c>
      <c r="K120" t="s">
        <v>307</v>
      </c>
      <c r="L120">
        <v>46111</v>
      </c>
      <c r="M120">
        <v>46112</v>
      </c>
      <c r="N120">
        <v>46112</v>
      </c>
      <c r="O120" t="s">
        <v>318</v>
      </c>
      <c r="P120" t="s">
        <v>204</v>
      </c>
      <c r="Q120" t="s">
        <v>309</v>
      </c>
      <c r="R120" t="s">
        <v>310</v>
      </c>
      <c r="S120" t="s">
        <v>209</v>
      </c>
      <c r="T120" t="s">
        <v>789</v>
      </c>
      <c r="U120">
        <v>793</v>
      </c>
      <c r="V120">
        <v>9146</v>
      </c>
      <c r="W120">
        <v>2579</v>
      </c>
      <c r="X120">
        <v>4163</v>
      </c>
      <c r="Y120">
        <v>16681</v>
      </c>
      <c r="Z120">
        <v>0</v>
      </c>
      <c r="AA120" t="s">
        <v>204</v>
      </c>
      <c r="AB120">
        <v>16681</v>
      </c>
      <c r="AC120">
        <v>10342.219999999999</v>
      </c>
      <c r="AD120">
        <v>300</v>
      </c>
      <c r="AE120">
        <v>300</v>
      </c>
      <c r="AF120">
        <v>300</v>
      </c>
      <c r="AG120">
        <v>0</v>
      </c>
      <c r="AH120" t="s">
        <v>312</v>
      </c>
      <c r="AI120" t="s">
        <v>312</v>
      </c>
      <c r="AJ120" t="s">
        <v>312</v>
      </c>
      <c r="AK120">
        <v>0</v>
      </c>
      <c r="AL120">
        <v>16681</v>
      </c>
      <c r="AM120">
        <v>13011.8</v>
      </c>
      <c r="AN120">
        <v>2347.1999999999998</v>
      </c>
      <c r="AO120">
        <v>15359</v>
      </c>
      <c r="AP120">
        <v>300</v>
      </c>
      <c r="AQ120">
        <v>300</v>
      </c>
      <c r="AR120">
        <v>15359.000000000002</v>
      </c>
      <c r="AS120">
        <v>0</v>
      </c>
      <c r="AT120">
        <v>3336.2000000000003</v>
      </c>
      <c r="AU120">
        <v>46114</v>
      </c>
      <c r="AV120">
        <v>46117</v>
      </c>
      <c r="AW120" t="s">
        <v>204</v>
      </c>
      <c r="AX120">
        <v>1321.9999999999982</v>
      </c>
      <c r="AY120">
        <v>300</v>
      </c>
      <c r="AZ120" t="s">
        <v>313</v>
      </c>
      <c r="BD120">
        <v>2</v>
      </c>
      <c r="BE120">
        <v>5</v>
      </c>
      <c r="BF120" t="s">
        <v>314</v>
      </c>
      <c r="BG120" t="s">
        <v>153</v>
      </c>
      <c r="BH120">
        <v>13011.8</v>
      </c>
      <c r="BI120">
        <v>46130</v>
      </c>
      <c r="BJ120">
        <v>18</v>
      </c>
      <c r="BK120">
        <v>2347.1999999999998</v>
      </c>
      <c r="BL120">
        <v>46158</v>
      </c>
      <c r="BM120">
        <v>46</v>
      </c>
      <c r="BN120">
        <v>15359</v>
      </c>
      <c r="BO120">
        <v>1322</v>
      </c>
      <c r="BP120" t="str">
        <f t="shared" si="1"/>
        <v>HAEMBB</v>
      </c>
    </row>
    <row r="121" spans="1:68" x14ac:dyDescent="0.25">
      <c r="A121" t="s">
        <v>790</v>
      </c>
      <c r="B121" t="s">
        <v>791</v>
      </c>
      <c r="C121" t="s">
        <v>792</v>
      </c>
      <c r="D121">
        <v>9765.380000000001</v>
      </c>
      <c r="E121">
        <v>11909</v>
      </c>
      <c r="F121">
        <v>46111</v>
      </c>
      <c r="G121" t="s">
        <v>159</v>
      </c>
      <c r="H121" t="s">
        <v>793</v>
      </c>
      <c r="I121" t="s">
        <v>794</v>
      </c>
      <c r="J121" t="s">
        <v>306</v>
      </c>
      <c r="K121" t="s">
        <v>307</v>
      </c>
      <c r="L121">
        <v>46111</v>
      </c>
      <c r="M121">
        <v>46112</v>
      </c>
      <c r="N121">
        <v>46112</v>
      </c>
      <c r="O121" t="s">
        <v>308</v>
      </c>
      <c r="P121" t="s">
        <v>204</v>
      </c>
      <c r="Q121" t="s">
        <v>309</v>
      </c>
      <c r="R121" t="s">
        <v>310</v>
      </c>
      <c r="S121" t="s">
        <v>209</v>
      </c>
      <c r="T121" t="s">
        <v>789</v>
      </c>
      <c r="U121">
        <v>793</v>
      </c>
      <c r="V121">
        <v>9530</v>
      </c>
      <c r="W121">
        <v>0</v>
      </c>
      <c r="X121">
        <v>1586</v>
      </c>
      <c r="Y121">
        <v>11909</v>
      </c>
      <c r="Z121">
        <v>0</v>
      </c>
      <c r="AA121" t="s">
        <v>204</v>
      </c>
      <c r="AB121">
        <v>11909</v>
      </c>
      <c r="AC121">
        <v>7383.58</v>
      </c>
      <c r="AD121">
        <v>300</v>
      </c>
      <c r="AE121">
        <v>300</v>
      </c>
      <c r="AF121">
        <v>300</v>
      </c>
      <c r="AG121">
        <v>0</v>
      </c>
      <c r="AH121" t="s">
        <v>312</v>
      </c>
      <c r="AI121" t="s">
        <v>312</v>
      </c>
      <c r="AJ121" t="s">
        <v>312</v>
      </c>
      <c r="AK121">
        <v>0</v>
      </c>
      <c r="AL121">
        <v>11909</v>
      </c>
      <c r="AM121">
        <v>9823.7000000000007</v>
      </c>
      <c r="AN121">
        <v>2085.2999999999997</v>
      </c>
      <c r="AO121">
        <v>11909</v>
      </c>
      <c r="AP121">
        <v>300</v>
      </c>
      <c r="AQ121">
        <v>300</v>
      </c>
      <c r="AR121">
        <v>11909.000000000002</v>
      </c>
      <c r="AS121">
        <v>0</v>
      </c>
      <c r="AT121">
        <v>2381.8000000000002</v>
      </c>
      <c r="AU121">
        <v>46116</v>
      </c>
      <c r="AV121">
        <v>46119</v>
      </c>
      <c r="AW121" t="s">
        <v>204</v>
      </c>
      <c r="AX121">
        <v>0</v>
      </c>
      <c r="AY121">
        <v>300</v>
      </c>
      <c r="AZ121" t="s">
        <v>313</v>
      </c>
      <c r="BD121">
        <v>4</v>
      </c>
      <c r="BE121">
        <v>7</v>
      </c>
      <c r="BF121" t="s">
        <v>314</v>
      </c>
      <c r="BG121" t="s">
        <v>153</v>
      </c>
      <c r="BH121">
        <v>9823.7000000000007</v>
      </c>
      <c r="BI121">
        <v>46136</v>
      </c>
      <c r="BJ121">
        <v>24</v>
      </c>
      <c r="BK121">
        <v>2085.2999999999997</v>
      </c>
      <c r="BL121">
        <v>46158</v>
      </c>
      <c r="BM121">
        <v>46</v>
      </c>
      <c r="BN121">
        <v>11909</v>
      </c>
      <c r="BO121">
        <v>0</v>
      </c>
      <c r="BP121" t="str">
        <f t="shared" si="1"/>
        <v>HAEMBB</v>
      </c>
    </row>
    <row r="122" spans="1:68" x14ac:dyDescent="0.25">
      <c r="A122" t="s">
        <v>795</v>
      </c>
      <c r="B122" t="s">
        <v>796</v>
      </c>
      <c r="C122" t="s">
        <v>797</v>
      </c>
      <c r="D122">
        <v>1687.29</v>
      </c>
      <c r="E122">
        <v>2081</v>
      </c>
      <c r="F122">
        <v>46111</v>
      </c>
      <c r="G122" t="s">
        <v>152</v>
      </c>
      <c r="H122" t="s">
        <v>373</v>
      </c>
      <c r="I122" t="s">
        <v>798</v>
      </c>
      <c r="J122" t="s">
        <v>306</v>
      </c>
      <c r="K122" t="s">
        <v>307</v>
      </c>
      <c r="L122">
        <v>46113</v>
      </c>
      <c r="M122">
        <v>46113</v>
      </c>
      <c r="N122">
        <v>46113</v>
      </c>
      <c r="O122" t="s">
        <v>395</v>
      </c>
      <c r="P122" t="s">
        <v>396</v>
      </c>
      <c r="Q122" t="s">
        <v>328</v>
      </c>
      <c r="R122" t="s">
        <v>310</v>
      </c>
      <c r="S122" t="s">
        <v>377</v>
      </c>
      <c r="T122" t="s">
        <v>789</v>
      </c>
      <c r="U122">
        <v>0</v>
      </c>
      <c r="V122">
        <v>1970</v>
      </c>
      <c r="W122">
        <v>0</v>
      </c>
      <c r="X122">
        <v>111</v>
      </c>
      <c r="Y122">
        <v>2081</v>
      </c>
      <c r="Z122">
        <v>0</v>
      </c>
      <c r="AA122" t="s">
        <v>204</v>
      </c>
      <c r="AB122">
        <v>2081</v>
      </c>
      <c r="AC122">
        <v>1500</v>
      </c>
      <c r="AD122">
        <v>1230</v>
      </c>
      <c r="AE122">
        <v>1230</v>
      </c>
      <c r="AF122">
        <v>0</v>
      </c>
      <c r="AG122">
        <v>0</v>
      </c>
      <c r="AH122" t="s">
        <v>312</v>
      </c>
      <c r="AI122" t="s">
        <v>312</v>
      </c>
      <c r="AJ122" t="s">
        <v>312</v>
      </c>
      <c r="AK122">
        <v>0</v>
      </c>
      <c r="AL122">
        <v>2081</v>
      </c>
      <c r="AM122">
        <v>1687</v>
      </c>
      <c r="AN122">
        <v>0</v>
      </c>
      <c r="AO122">
        <v>1687</v>
      </c>
      <c r="AP122">
        <v>1230</v>
      </c>
      <c r="AQ122">
        <v>1230</v>
      </c>
      <c r="AR122">
        <v>1687</v>
      </c>
      <c r="AS122">
        <v>984</v>
      </c>
      <c r="AT122">
        <v>0</v>
      </c>
      <c r="AU122">
        <v>46113</v>
      </c>
      <c r="AV122">
        <v>46132</v>
      </c>
      <c r="AW122" t="s">
        <v>204</v>
      </c>
      <c r="AX122">
        <v>394</v>
      </c>
      <c r="AY122">
        <v>246</v>
      </c>
      <c r="AZ122" t="s">
        <v>313</v>
      </c>
      <c r="BD122">
        <v>0</v>
      </c>
      <c r="BE122">
        <v>19</v>
      </c>
      <c r="BF122" t="s">
        <v>314</v>
      </c>
      <c r="BG122" t="s">
        <v>155</v>
      </c>
      <c r="BH122">
        <v>1687</v>
      </c>
      <c r="BI122">
        <v>46150</v>
      </c>
      <c r="BJ122">
        <v>37</v>
      </c>
      <c r="BK122">
        <v>394</v>
      </c>
      <c r="BL122">
        <v>46234</v>
      </c>
      <c r="BM122">
        <v>121</v>
      </c>
      <c r="BN122">
        <v>2081</v>
      </c>
      <c r="BO122">
        <v>0</v>
      </c>
      <c r="BP122" t="str">
        <f t="shared" si="1"/>
        <v>TMEIPRAN</v>
      </c>
    </row>
    <row r="123" spans="1:68" x14ac:dyDescent="0.25">
      <c r="A123" t="s">
        <v>799</v>
      </c>
      <c r="B123" t="s">
        <v>800</v>
      </c>
      <c r="C123" t="s">
        <v>801</v>
      </c>
      <c r="D123">
        <v>1830.96</v>
      </c>
      <c r="E123">
        <v>2364</v>
      </c>
      <c r="F123">
        <v>46142</v>
      </c>
      <c r="G123" t="s">
        <v>152</v>
      </c>
      <c r="H123" t="s">
        <v>393</v>
      </c>
      <c r="I123" t="s">
        <v>802</v>
      </c>
      <c r="J123" t="s">
        <v>306</v>
      </c>
      <c r="K123" t="s">
        <v>307</v>
      </c>
      <c r="L123">
        <v>46071</v>
      </c>
      <c r="M123">
        <v>46071</v>
      </c>
      <c r="N123">
        <v>46071</v>
      </c>
      <c r="O123" t="s">
        <v>395</v>
      </c>
      <c r="P123" t="s">
        <v>396</v>
      </c>
      <c r="Q123" t="s">
        <v>328</v>
      </c>
      <c r="R123" t="s">
        <v>310</v>
      </c>
      <c r="S123" t="s">
        <v>377</v>
      </c>
      <c r="T123" t="s">
        <v>482</v>
      </c>
      <c r="U123">
        <v>0</v>
      </c>
      <c r="V123">
        <v>2364</v>
      </c>
      <c r="W123">
        <v>0</v>
      </c>
      <c r="X123">
        <v>0</v>
      </c>
      <c r="Y123">
        <v>2364</v>
      </c>
      <c r="Z123">
        <v>0</v>
      </c>
      <c r="AA123" t="s">
        <v>204</v>
      </c>
      <c r="AB123">
        <v>2364</v>
      </c>
      <c r="AC123">
        <v>1500</v>
      </c>
      <c r="AD123">
        <v>2230</v>
      </c>
      <c r="AE123">
        <v>2230</v>
      </c>
      <c r="AF123">
        <v>0</v>
      </c>
      <c r="AG123">
        <v>0</v>
      </c>
      <c r="AH123" t="s">
        <v>312</v>
      </c>
      <c r="AI123" t="s">
        <v>312</v>
      </c>
      <c r="AJ123" t="s">
        <v>312</v>
      </c>
      <c r="AK123">
        <v>0</v>
      </c>
      <c r="AL123">
        <v>3734</v>
      </c>
      <c r="AM123">
        <v>6522.4000000000015</v>
      </c>
      <c r="AN123">
        <v>0</v>
      </c>
      <c r="AO123">
        <v>6522.4000000000015</v>
      </c>
      <c r="AP123">
        <v>2230</v>
      </c>
      <c r="AQ123">
        <v>2230</v>
      </c>
      <c r="AR123">
        <v>3261.2</v>
      </c>
      <c r="AS123">
        <v>1784</v>
      </c>
      <c r="AT123">
        <v>0</v>
      </c>
      <c r="AU123">
        <v>46051</v>
      </c>
      <c r="AV123">
        <v>46079</v>
      </c>
      <c r="AW123" t="s">
        <v>204</v>
      </c>
      <c r="AX123">
        <v>472.80000000000018</v>
      </c>
      <c r="AY123">
        <v>446</v>
      </c>
      <c r="AZ123" t="s">
        <v>313</v>
      </c>
      <c r="BD123">
        <v>4</v>
      </c>
      <c r="BE123">
        <v>8</v>
      </c>
      <c r="BF123" t="s">
        <v>314</v>
      </c>
      <c r="BG123" t="s">
        <v>155</v>
      </c>
      <c r="BH123">
        <v>6522.4000000000015</v>
      </c>
      <c r="BI123">
        <v>46130</v>
      </c>
      <c r="BJ123">
        <v>59</v>
      </c>
      <c r="BK123">
        <v>472.80000000000007</v>
      </c>
      <c r="BL123">
        <v>46230</v>
      </c>
      <c r="BM123">
        <v>159</v>
      </c>
      <c r="BN123">
        <v>6995.2000000000016</v>
      </c>
      <c r="BO123">
        <v>0</v>
      </c>
      <c r="BP123" t="str">
        <f t="shared" si="1"/>
        <v>TMEIPRAN</v>
      </c>
    </row>
    <row r="124" spans="1:68" x14ac:dyDescent="0.25">
      <c r="A124" t="s">
        <v>803</v>
      </c>
      <c r="B124" t="s">
        <v>804</v>
      </c>
      <c r="C124" t="s">
        <v>805</v>
      </c>
      <c r="D124">
        <v>17744.8</v>
      </c>
      <c r="E124">
        <v>21640</v>
      </c>
      <c r="F124">
        <v>46142</v>
      </c>
      <c r="G124" t="s">
        <v>159</v>
      </c>
      <c r="H124" t="s">
        <v>368</v>
      </c>
      <c r="I124" t="s">
        <v>806</v>
      </c>
      <c r="J124" t="s">
        <v>306</v>
      </c>
      <c r="K124" t="s">
        <v>307</v>
      </c>
      <c r="L124">
        <v>46134</v>
      </c>
      <c r="M124">
        <v>46139</v>
      </c>
      <c r="N124">
        <v>46139</v>
      </c>
      <c r="O124" t="s">
        <v>318</v>
      </c>
      <c r="P124" t="s">
        <v>204</v>
      </c>
      <c r="Q124" t="s">
        <v>309</v>
      </c>
      <c r="R124" t="s">
        <v>310</v>
      </c>
      <c r="S124" t="s">
        <v>209</v>
      </c>
      <c r="T124" t="s">
        <v>807</v>
      </c>
      <c r="U124">
        <v>779</v>
      </c>
      <c r="V124">
        <v>19308</v>
      </c>
      <c r="W124">
        <v>0</v>
      </c>
      <c r="X124">
        <v>1553</v>
      </c>
      <c r="Y124">
        <v>21640</v>
      </c>
      <c r="Z124">
        <v>4319</v>
      </c>
      <c r="AA124">
        <v>46191</v>
      </c>
      <c r="AB124">
        <v>25959</v>
      </c>
      <c r="AC124">
        <v>17744.8</v>
      </c>
      <c r="AD124">
        <v>300</v>
      </c>
      <c r="AE124">
        <v>300</v>
      </c>
      <c r="AF124">
        <v>300</v>
      </c>
      <c r="AG124">
        <v>0</v>
      </c>
      <c r="AH124" t="s">
        <v>312</v>
      </c>
      <c r="AI124" t="s">
        <v>312</v>
      </c>
      <c r="AJ124" t="s">
        <v>312</v>
      </c>
      <c r="AK124">
        <v>0</v>
      </c>
      <c r="AL124">
        <v>29112</v>
      </c>
      <c r="AM124">
        <v>15847.599999999999</v>
      </c>
      <c r="AN124">
        <v>5792.4</v>
      </c>
      <c r="AO124">
        <v>21640</v>
      </c>
      <c r="AP124">
        <v>300</v>
      </c>
      <c r="AQ124">
        <v>300</v>
      </c>
      <c r="AR124">
        <v>21639.999999999996</v>
      </c>
      <c r="AS124">
        <v>0</v>
      </c>
      <c r="AT124">
        <v>8880</v>
      </c>
      <c r="AU124">
        <v>46141</v>
      </c>
      <c r="AV124">
        <v>46143</v>
      </c>
      <c r="AW124" t="s">
        <v>204</v>
      </c>
      <c r="AX124">
        <v>7472.0000000000036</v>
      </c>
      <c r="AY124">
        <v>300</v>
      </c>
      <c r="AZ124" t="s">
        <v>313</v>
      </c>
      <c r="BD124">
        <v>2</v>
      </c>
      <c r="BE124">
        <v>4</v>
      </c>
      <c r="BF124" t="s">
        <v>314</v>
      </c>
      <c r="BG124" t="s">
        <v>153</v>
      </c>
      <c r="BH124">
        <v>20079.599999999999</v>
      </c>
      <c r="BI124">
        <v>46150</v>
      </c>
      <c r="BJ124">
        <v>11</v>
      </c>
      <c r="BK124">
        <v>5792.4</v>
      </c>
      <c r="BL124">
        <v>46164</v>
      </c>
      <c r="BM124">
        <v>25</v>
      </c>
      <c r="BN124">
        <v>25872</v>
      </c>
      <c r="BO124">
        <v>87</v>
      </c>
      <c r="BP124" t="str">
        <f t="shared" si="1"/>
        <v>HAEMBB</v>
      </c>
    </row>
    <row r="125" spans="1:68" x14ac:dyDescent="0.25">
      <c r="A125" t="s">
        <v>808</v>
      </c>
      <c r="B125" t="s">
        <v>809</v>
      </c>
      <c r="C125" t="s">
        <v>810</v>
      </c>
      <c r="D125">
        <v>10722.32</v>
      </c>
      <c r="E125">
        <v>13076</v>
      </c>
      <c r="F125">
        <v>46142</v>
      </c>
      <c r="G125" t="s">
        <v>159</v>
      </c>
      <c r="H125" t="s">
        <v>793</v>
      </c>
      <c r="I125" t="s">
        <v>811</v>
      </c>
      <c r="J125" t="s">
        <v>306</v>
      </c>
      <c r="K125" t="s">
        <v>307</v>
      </c>
      <c r="L125">
        <v>46135</v>
      </c>
      <c r="M125">
        <v>46136</v>
      </c>
      <c r="N125">
        <v>46136</v>
      </c>
      <c r="O125" t="s">
        <v>308</v>
      </c>
      <c r="P125" t="s">
        <v>204</v>
      </c>
      <c r="Q125" t="s">
        <v>309</v>
      </c>
      <c r="R125" t="s">
        <v>310</v>
      </c>
      <c r="S125" t="s">
        <v>209</v>
      </c>
      <c r="T125" t="s">
        <v>812</v>
      </c>
      <c r="U125">
        <v>779</v>
      </c>
      <c r="V125">
        <v>10744</v>
      </c>
      <c r="W125">
        <v>0</v>
      </c>
      <c r="X125">
        <v>1553</v>
      </c>
      <c r="Y125">
        <v>13076</v>
      </c>
      <c r="Z125">
        <v>4319</v>
      </c>
      <c r="AA125">
        <v>46191</v>
      </c>
      <c r="AB125">
        <v>17395</v>
      </c>
      <c r="AC125">
        <v>10722.32</v>
      </c>
      <c r="AD125">
        <v>300</v>
      </c>
      <c r="AE125">
        <v>300</v>
      </c>
      <c r="AF125">
        <v>300</v>
      </c>
      <c r="AG125">
        <v>0</v>
      </c>
      <c r="AH125" t="s">
        <v>312</v>
      </c>
      <c r="AI125" t="s">
        <v>312</v>
      </c>
      <c r="AJ125" t="s">
        <v>312</v>
      </c>
      <c r="AK125">
        <v>0</v>
      </c>
      <c r="AL125">
        <v>17308</v>
      </c>
      <c r="AM125">
        <v>9852.7999999999993</v>
      </c>
      <c r="AN125">
        <v>3223.2</v>
      </c>
      <c r="AO125">
        <v>13076</v>
      </c>
      <c r="AP125">
        <v>300</v>
      </c>
      <c r="AQ125">
        <v>300</v>
      </c>
      <c r="AR125">
        <v>13076</v>
      </c>
      <c r="AS125">
        <v>0</v>
      </c>
      <c r="AT125">
        <v>4440</v>
      </c>
      <c r="AU125">
        <v>46137</v>
      </c>
      <c r="AV125">
        <v>46138</v>
      </c>
      <c r="AW125" t="s">
        <v>204</v>
      </c>
      <c r="AX125">
        <v>4232</v>
      </c>
      <c r="AY125">
        <v>300</v>
      </c>
      <c r="AZ125" t="s">
        <v>313</v>
      </c>
      <c r="BD125">
        <v>1</v>
      </c>
      <c r="BE125">
        <v>2</v>
      </c>
      <c r="BF125" t="s">
        <v>314</v>
      </c>
      <c r="BG125" t="s">
        <v>153</v>
      </c>
      <c r="BH125">
        <v>14084.8</v>
      </c>
      <c r="BI125">
        <v>46158</v>
      </c>
      <c r="BJ125">
        <v>22</v>
      </c>
      <c r="BK125">
        <v>3223.2</v>
      </c>
      <c r="BL125">
        <v>46171</v>
      </c>
      <c r="BM125">
        <v>35</v>
      </c>
      <c r="BN125">
        <v>17308</v>
      </c>
      <c r="BO125">
        <v>87</v>
      </c>
      <c r="BP125" t="str">
        <f t="shared" si="1"/>
        <v>HAEMBB</v>
      </c>
    </row>
    <row r="126" spans="1:68" x14ac:dyDescent="0.25">
      <c r="A126">
        <v>27555</v>
      </c>
      <c r="B126" t="s">
        <v>813</v>
      </c>
      <c r="C126" t="s">
        <v>814</v>
      </c>
      <c r="D126">
        <v>14830.4</v>
      </c>
      <c r="E126">
        <v>18252</v>
      </c>
      <c r="F126">
        <v>2502</v>
      </c>
      <c r="G126" t="s">
        <v>152</v>
      </c>
      <c r="H126" t="s">
        <v>815</v>
      </c>
      <c r="I126" t="s">
        <v>816</v>
      </c>
      <c r="J126" t="s">
        <v>306</v>
      </c>
      <c r="K126" t="s">
        <v>307</v>
      </c>
      <c r="L126">
        <v>46163</v>
      </c>
      <c r="M126">
        <v>46165</v>
      </c>
      <c r="N126">
        <v>46165</v>
      </c>
      <c r="O126" t="s">
        <v>308</v>
      </c>
      <c r="P126" t="s">
        <v>204</v>
      </c>
      <c r="Q126" t="s">
        <v>309</v>
      </c>
      <c r="R126" t="s">
        <v>310</v>
      </c>
      <c r="S126" t="s">
        <v>310</v>
      </c>
      <c r="T126" t="s">
        <v>817</v>
      </c>
      <c r="U126">
        <v>0</v>
      </c>
      <c r="V126">
        <v>13632</v>
      </c>
      <c r="W126">
        <v>1230</v>
      </c>
      <c r="X126">
        <v>4644</v>
      </c>
      <c r="Y126">
        <v>19506</v>
      </c>
      <c r="Z126">
        <v>0</v>
      </c>
      <c r="AA126" t="s">
        <v>204</v>
      </c>
      <c r="AB126">
        <v>19506</v>
      </c>
      <c r="AC126">
        <v>12093.72</v>
      </c>
      <c r="AD126">
        <v>0</v>
      </c>
      <c r="AE126">
        <v>0</v>
      </c>
      <c r="AF126">
        <v>0</v>
      </c>
      <c r="AG126">
        <v>0</v>
      </c>
      <c r="AH126" t="s">
        <v>312</v>
      </c>
      <c r="AI126" t="s">
        <v>312</v>
      </c>
      <c r="AJ126" t="s">
        <v>312</v>
      </c>
      <c r="AK126">
        <v>0</v>
      </c>
      <c r="AL126">
        <v>19506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7144</v>
      </c>
      <c r="AU126">
        <v>46165</v>
      </c>
      <c r="AW126" t="s">
        <v>204</v>
      </c>
      <c r="AX126">
        <v>19506</v>
      </c>
      <c r="AY126">
        <v>0</v>
      </c>
      <c r="AZ126" t="s">
        <v>313</v>
      </c>
      <c r="BD126">
        <v>0</v>
      </c>
      <c r="BF126" t="s">
        <v>314</v>
      </c>
      <c r="BG126" t="s">
        <v>153</v>
      </c>
      <c r="BH126">
        <v>12202.699999999999</v>
      </c>
      <c r="BI126">
        <v>46234</v>
      </c>
      <c r="BJ126">
        <v>69</v>
      </c>
      <c r="BK126">
        <v>2712.2999999999997</v>
      </c>
      <c r="BL126">
        <v>46250</v>
      </c>
      <c r="BM126">
        <v>85</v>
      </c>
      <c r="BN126">
        <v>14914.999999999998</v>
      </c>
      <c r="BO126">
        <v>4591.0000000000018</v>
      </c>
      <c r="BP126" t="str">
        <f t="shared" si="1"/>
        <v>TMEMBB</v>
      </c>
    </row>
    <row r="127" spans="1:68" x14ac:dyDescent="0.25">
      <c r="A127" t="s">
        <v>818</v>
      </c>
      <c r="B127" t="s">
        <v>819</v>
      </c>
      <c r="C127" t="s">
        <v>820</v>
      </c>
      <c r="D127">
        <v>5865.46</v>
      </c>
      <c r="E127">
        <v>7153</v>
      </c>
      <c r="F127">
        <v>2605</v>
      </c>
      <c r="G127" t="s">
        <v>159</v>
      </c>
      <c r="H127" t="s">
        <v>368</v>
      </c>
      <c r="I127" t="s">
        <v>821</v>
      </c>
      <c r="J127" t="s">
        <v>306</v>
      </c>
      <c r="K127" t="s">
        <v>307</v>
      </c>
      <c r="L127">
        <v>46192</v>
      </c>
      <c r="M127">
        <v>46194</v>
      </c>
      <c r="N127">
        <v>46194</v>
      </c>
      <c r="O127" t="s">
        <v>318</v>
      </c>
      <c r="P127" t="s">
        <v>204</v>
      </c>
      <c r="Q127" t="s">
        <v>309</v>
      </c>
      <c r="R127" t="s">
        <v>310</v>
      </c>
      <c r="S127" t="s">
        <v>211</v>
      </c>
      <c r="T127" t="s">
        <v>822</v>
      </c>
      <c r="U127">
        <v>779</v>
      </c>
      <c r="V127">
        <v>19308</v>
      </c>
      <c r="W127">
        <v>0</v>
      </c>
      <c r="X127">
        <v>1553</v>
      </c>
      <c r="Y127">
        <v>21640</v>
      </c>
      <c r="Z127">
        <v>2133</v>
      </c>
      <c r="AA127">
        <v>46201</v>
      </c>
      <c r="AB127">
        <v>23773</v>
      </c>
      <c r="AC127">
        <v>13416.8</v>
      </c>
      <c r="AD127">
        <v>0</v>
      </c>
      <c r="AE127">
        <v>0</v>
      </c>
      <c r="AF127">
        <v>0</v>
      </c>
      <c r="AG127">
        <v>0</v>
      </c>
      <c r="AH127" t="s">
        <v>312</v>
      </c>
      <c r="AI127" t="s">
        <v>312</v>
      </c>
      <c r="AJ127" t="s">
        <v>312</v>
      </c>
      <c r="AK127">
        <v>0</v>
      </c>
      <c r="AL127">
        <v>21640</v>
      </c>
      <c r="AM127">
        <v>15847.599999999999</v>
      </c>
      <c r="AN127">
        <v>0</v>
      </c>
      <c r="AO127">
        <v>15847.599999999999</v>
      </c>
      <c r="AP127">
        <v>0</v>
      </c>
      <c r="AQ127">
        <v>0</v>
      </c>
      <c r="AR127">
        <v>21639.999999999996</v>
      </c>
      <c r="AS127">
        <v>0</v>
      </c>
      <c r="AT127">
        <v>4440</v>
      </c>
      <c r="AU127">
        <v>46195</v>
      </c>
      <c r="AV127">
        <v>46197</v>
      </c>
      <c r="AW127" t="s">
        <v>204</v>
      </c>
      <c r="AX127">
        <v>0</v>
      </c>
      <c r="AY127">
        <v>0</v>
      </c>
      <c r="AZ127" t="s">
        <v>313</v>
      </c>
      <c r="BD127">
        <v>1</v>
      </c>
      <c r="BE127">
        <v>3</v>
      </c>
      <c r="BF127" t="s">
        <v>314</v>
      </c>
      <c r="BG127" t="s">
        <v>153</v>
      </c>
      <c r="BH127">
        <v>17937.599999999999</v>
      </c>
      <c r="BI127">
        <v>46206</v>
      </c>
      <c r="BJ127">
        <v>12</v>
      </c>
      <c r="BK127">
        <v>5792.4</v>
      </c>
      <c r="BL127">
        <v>46220</v>
      </c>
      <c r="BM127">
        <v>26</v>
      </c>
      <c r="BN127">
        <v>23730</v>
      </c>
      <c r="BO127">
        <v>43</v>
      </c>
      <c r="BP127" t="str">
        <f t="shared" si="1"/>
        <v>HAEMBB</v>
      </c>
    </row>
    <row r="128" spans="1:68" x14ac:dyDescent="0.25">
      <c r="A128" t="s">
        <v>823</v>
      </c>
      <c r="B128" t="s">
        <v>824</v>
      </c>
      <c r="C128" t="s">
        <v>825</v>
      </c>
      <c r="D128">
        <v>5731.8</v>
      </c>
      <c r="E128">
        <v>6990</v>
      </c>
      <c r="F128">
        <v>2605</v>
      </c>
      <c r="G128" t="s">
        <v>159</v>
      </c>
      <c r="H128" t="s">
        <v>368</v>
      </c>
      <c r="I128" t="s">
        <v>826</v>
      </c>
      <c r="J128" t="s">
        <v>306</v>
      </c>
      <c r="K128" t="s">
        <v>307</v>
      </c>
      <c r="L128">
        <v>46166</v>
      </c>
      <c r="M128">
        <v>46167</v>
      </c>
      <c r="N128">
        <v>46167</v>
      </c>
      <c r="O128" t="s">
        <v>318</v>
      </c>
      <c r="P128" t="s">
        <v>204</v>
      </c>
      <c r="Q128" t="s">
        <v>309</v>
      </c>
      <c r="R128" t="s">
        <v>310</v>
      </c>
      <c r="S128" t="s">
        <v>211</v>
      </c>
      <c r="T128" t="s">
        <v>827</v>
      </c>
      <c r="U128">
        <v>779</v>
      </c>
      <c r="V128">
        <v>4658</v>
      </c>
      <c r="W128">
        <v>0</v>
      </c>
      <c r="X128">
        <v>1553</v>
      </c>
      <c r="Y128">
        <v>6990</v>
      </c>
      <c r="Z128">
        <v>0</v>
      </c>
      <c r="AA128" t="s">
        <v>204</v>
      </c>
      <c r="AB128">
        <v>6990</v>
      </c>
      <c r="AC128">
        <v>4333.8</v>
      </c>
      <c r="AD128">
        <v>0</v>
      </c>
      <c r="AE128">
        <v>0</v>
      </c>
      <c r="AF128">
        <v>0</v>
      </c>
      <c r="AG128">
        <v>0</v>
      </c>
      <c r="AH128" t="s">
        <v>312</v>
      </c>
      <c r="AI128" t="s">
        <v>312</v>
      </c>
      <c r="AJ128" t="s">
        <v>312</v>
      </c>
      <c r="AK128">
        <v>0</v>
      </c>
      <c r="AL128">
        <v>6990</v>
      </c>
      <c r="AM128">
        <v>5592.5999999999995</v>
      </c>
      <c r="AN128">
        <v>1397.4</v>
      </c>
      <c r="AO128">
        <v>6990</v>
      </c>
      <c r="AP128">
        <v>0</v>
      </c>
      <c r="AQ128">
        <v>0</v>
      </c>
      <c r="AR128">
        <v>6990</v>
      </c>
      <c r="AS128">
        <v>0</v>
      </c>
      <c r="AT128">
        <v>2960</v>
      </c>
      <c r="AU128">
        <v>46168</v>
      </c>
      <c r="AV128">
        <v>46181</v>
      </c>
      <c r="AW128" t="s">
        <v>204</v>
      </c>
      <c r="AX128">
        <v>0</v>
      </c>
      <c r="AY128">
        <v>0</v>
      </c>
      <c r="AZ128" t="s">
        <v>313</v>
      </c>
      <c r="BD128">
        <v>1</v>
      </c>
      <c r="BE128">
        <v>14</v>
      </c>
      <c r="BF128" t="s">
        <v>314</v>
      </c>
      <c r="BG128" t="s">
        <v>153</v>
      </c>
      <c r="BH128">
        <v>5592.5999999999995</v>
      </c>
      <c r="BI128">
        <v>46180</v>
      </c>
      <c r="BJ128">
        <v>13</v>
      </c>
      <c r="BK128">
        <v>1397.4</v>
      </c>
      <c r="BL128">
        <v>46206</v>
      </c>
      <c r="BM128">
        <v>39</v>
      </c>
      <c r="BN128">
        <v>6990</v>
      </c>
      <c r="BO128">
        <v>0</v>
      </c>
      <c r="BP128" t="str">
        <f t="shared" si="1"/>
        <v>HAEMBB</v>
      </c>
    </row>
    <row r="129" spans="1:68" x14ac:dyDescent="0.25">
      <c r="A129" t="s">
        <v>828</v>
      </c>
      <c r="B129" t="s">
        <v>829</v>
      </c>
      <c r="C129" t="s">
        <v>830</v>
      </c>
      <c r="D129">
        <v>5731.8</v>
      </c>
      <c r="E129">
        <v>6990</v>
      </c>
      <c r="F129">
        <v>2605</v>
      </c>
      <c r="G129" t="s">
        <v>159</v>
      </c>
      <c r="H129" t="s">
        <v>368</v>
      </c>
      <c r="I129" t="s">
        <v>831</v>
      </c>
      <c r="J129" t="s">
        <v>306</v>
      </c>
      <c r="K129" t="s">
        <v>307</v>
      </c>
      <c r="L129">
        <v>46168</v>
      </c>
      <c r="M129">
        <v>46169</v>
      </c>
      <c r="N129">
        <v>46169</v>
      </c>
      <c r="O129" t="s">
        <v>326</v>
      </c>
      <c r="P129" t="s">
        <v>327</v>
      </c>
      <c r="Q129" t="s">
        <v>328</v>
      </c>
      <c r="R129" t="s">
        <v>310</v>
      </c>
      <c r="S129" t="s">
        <v>211</v>
      </c>
      <c r="T129" t="s">
        <v>827</v>
      </c>
      <c r="U129">
        <v>779</v>
      </c>
      <c r="V129">
        <v>4658</v>
      </c>
      <c r="W129">
        <v>0</v>
      </c>
      <c r="X129">
        <v>1553</v>
      </c>
      <c r="Y129">
        <v>6990</v>
      </c>
      <c r="Z129">
        <v>0</v>
      </c>
      <c r="AA129" t="s">
        <v>204</v>
      </c>
      <c r="AB129">
        <v>6990</v>
      </c>
      <c r="AC129">
        <v>4333.8</v>
      </c>
      <c r="AD129">
        <v>4220</v>
      </c>
      <c r="AE129">
        <v>4220</v>
      </c>
      <c r="AF129">
        <v>0</v>
      </c>
      <c r="AG129">
        <v>0</v>
      </c>
      <c r="AH129" t="s">
        <v>312</v>
      </c>
      <c r="AI129" t="s">
        <v>312</v>
      </c>
      <c r="AJ129" t="s">
        <v>312</v>
      </c>
      <c r="AK129">
        <v>0</v>
      </c>
      <c r="AL129">
        <v>6990</v>
      </c>
      <c r="AM129">
        <v>5592.6</v>
      </c>
      <c r="AN129">
        <v>1397.4</v>
      </c>
      <c r="AO129">
        <v>6990</v>
      </c>
      <c r="AP129">
        <v>4220</v>
      </c>
      <c r="AQ129">
        <v>4220</v>
      </c>
      <c r="AR129">
        <v>6990.0000000000009</v>
      </c>
      <c r="AS129">
        <v>4220</v>
      </c>
      <c r="AT129">
        <v>0</v>
      </c>
      <c r="AU129">
        <v>46171</v>
      </c>
      <c r="AV129">
        <v>46171</v>
      </c>
      <c r="AW129" t="s">
        <v>204</v>
      </c>
      <c r="AX129">
        <v>0</v>
      </c>
      <c r="AY129">
        <v>0</v>
      </c>
      <c r="AZ129" t="s">
        <v>313</v>
      </c>
      <c r="BD129">
        <v>2</v>
      </c>
      <c r="BE129">
        <v>2</v>
      </c>
      <c r="BF129" t="s">
        <v>314</v>
      </c>
      <c r="BG129" t="s">
        <v>153</v>
      </c>
      <c r="BH129">
        <v>5592.6</v>
      </c>
      <c r="BI129">
        <v>46180</v>
      </c>
      <c r="BJ129">
        <v>11</v>
      </c>
      <c r="BK129">
        <v>1397.4</v>
      </c>
      <c r="BL129">
        <v>46199</v>
      </c>
      <c r="BM129">
        <v>30</v>
      </c>
      <c r="BN129">
        <v>6990</v>
      </c>
      <c r="BO129">
        <v>0</v>
      </c>
      <c r="BP129" t="str">
        <f t="shared" si="1"/>
        <v>HAEMBB</v>
      </c>
    </row>
    <row r="130" spans="1:68" x14ac:dyDescent="0.25">
      <c r="A130" t="s">
        <v>832</v>
      </c>
      <c r="B130" t="s">
        <v>833</v>
      </c>
      <c r="C130" t="s">
        <v>834</v>
      </c>
      <c r="D130">
        <v>5731.8</v>
      </c>
      <c r="E130">
        <v>6990</v>
      </c>
      <c r="F130">
        <v>2605</v>
      </c>
      <c r="G130" t="s">
        <v>159</v>
      </c>
      <c r="H130" t="s">
        <v>368</v>
      </c>
      <c r="I130" t="s">
        <v>835</v>
      </c>
      <c r="J130" t="s">
        <v>306</v>
      </c>
      <c r="K130" t="s">
        <v>307</v>
      </c>
      <c r="L130">
        <v>46169</v>
      </c>
      <c r="M130">
        <v>46170</v>
      </c>
      <c r="N130">
        <v>46170</v>
      </c>
      <c r="O130" t="s">
        <v>487</v>
      </c>
      <c r="P130" t="s">
        <v>204</v>
      </c>
      <c r="Q130" t="s">
        <v>309</v>
      </c>
      <c r="R130" t="s">
        <v>310</v>
      </c>
      <c r="S130" t="s">
        <v>211</v>
      </c>
      <c r="T130" t="s">
        <v>827</v>
      </c>
      <c r="U130">
        <v>779</v>
      </c>
      <c r="V130">
        <v>4658</v>
      </c>
      <c r="W130">
        <v>0</v>
      </c>
      <c r="X130">
        <v>1553</v>
      </c>
      <c r="Y130">
        <v>6990</v>
      </c>
      <c r="Z130">
        <v>0</v>
      </c>
      <c r="AA130" t="s">
        <v>204</v>
      </c>
      <c r="AB130">
        <v>6990</v>
      </c>
      <c r="AC130">
        <v>4333.8</v>
      </c>
      <c r="AD130">
        <v>0</v>
      </c>
      <c r="AE130">
        <v>0</v>
      </c>
      <c r="AF130">
        <v>0</v>
      </c>
      <c r="AG130">
        <v>0</v>
      </c>
      <c r="AH130" t="s">
        <v>312</v>
      </c>
      <c r="AI130" t="s">
        <v>312</v>
      </c>
      <c r="AJ130" t="s">
        <v>312</v>
      </c>
      <c r="AK130">
        <v>0</v>
      </c>
      <c r="AL130">
        <v>6990</v>
      </c>
      <c r="AM130">
        <v>5592.6</v>
      </c>
      <c r="AN130">
        <v>1397.3999999999999</v>
      </c>
      <c r="AO130">
        <v>6990</v>
      </c>
      <c r="AP130">
        <v>0</v>
      </c>
      <c r="AQ130">
        <v>0</v>
      </c>
      <c r="AR130">
        <v>6990</v>
      </c>
      <c r="AS130">
        <v>0</v>
      </c>
      <c r="AT130">
        <v>2704</v>
      </c>
      <c r="AU130">
        <v>46176</v>
      </c>
      <c r="AV130">
        <v>46176</v>
      </c>
      <c r="AW130" t="s">
        <v>204</v>
      </c>
      <c r="AX130">
        <v>0</v>
      </c>
      <c r="AY130">
        <v>0</v>
      </c>
      <c r="AZ130" t="s">
        <v>313</v>
      </c>
      <c r="BD130">
        <v>6</v>
      </c>
      <c r="BE130">
        <v>6</v>
      </c>
      <c r="BF130" t="s">
        <v>314</v>
      </c>
      <c r="BG130" t="s">
        <v>153</v>
      </c>
      <c r="BH130">
        <v>5592.6</v>
      </c>
      <c r="BI130">
        <v>46180</v>
      </c>
      <c r="BJ130">
        <v>10</v>
      </c>
      <c r="BK130">
        <v>1397.3999999999999</v>
      </c>
      <c r="BL130">
        <v>46206</v>
      </c>
      <c r="BM130">
        <v>36</v>
      </c>
      <c r="BN130">
        <v>6990</v>
      </c>
      <c r="BO130">
        <v>0</v>
      </c>
      <c r="BP130" t="str">
        <f t="shared" si="1"/>
        <v>HAEMBB</v>
      </c>
    </row>
    <row r="131" spans="1:68" x14ac:dyDescent="0.25">
      <c r="A131" t="s">
        <v>836</v>
      </c>
      <c r="B131" t="s">
        <v>837</v>
      </c>
      <c r="C131" t="s">
        <v>838</v>
      </c>
      <c r="D131">
        <v>5731.8</v>
      </c>
      <c r="E131">
        <v>6990</v>
      </c>
      <c r="F131">
        <v>2605</v>
      </c>
      <c r="G131" t="s">
        <v>159</v>
      </c>
      <c r="H131" t="s">
        <v>368</v>
      </c>
      <c r="I131" t="s">
        <v>839</v>
      </c>
      <c r="J131" t="s">
        <v>306</v>
      </c>
      <c r="K131" t="s">
        <v>307</v>
      </c>
      <c r="L131">
        <v>46166</v>
      </c>
      <c r="M131">
        <v>46167</v>
      </c>
      <c r="N131">
        <v>46167</v>
      </c>
      <c r="O131" t="s">
        <v>308</v>
      </c>
      <c r="P131" t="s">
        <v>204</v>
      </c>
      <c r="Q131" t="s">
        <v>309</v>
      </c>
      <c r="R131" t="s">
        <v>310</v>
      </c>
      <c r="S131" t="s">
        <v>211</v>
      </c>
      <c r="T131" t="s">
        <v>827</v>
      </c>
      <c r="U131">
        <v>779</v>
      </c>
      <c r="V131">
        <v>4658</v>
      </c>
      <c r="W131">
        <v>0</v>
      </c>
      <c r="X131">
        <v>1553</v>
      </c>
      <c r="Y131">
        <v>6990</v>
      </c>
      <c r="Z131">
        <v>0</v>
      </c>
      <c r="AA131" t="s">
        <v>204</v>
      </c>
      <c r="AB131">
        <v>6990</v>
      </c>
      <c r="AC131">
        <v>4333.8</v>
      </c>
      <c r="AD131">
        <v>0</v>
      </c>
      <c r="AE131">
        <v>0</v>
      </c>
      <c r="AF131">
        <v>0</v>
      </c>
      <c r="AG131">
        <v>0</v>
      </c>
      <c r="AH131" t="s">
        <v>312</v>
      </c>
      <c r="AI131" t="s">
        <v>312</v>
      </c>
      <c r="AJ131" t="s">
        <v>312</v>
      </c>
      <c r="AK131">
        <v>0</v>
      </c>
      <c r="AL131">
        <v>6990</v>
      </c>
      <c r="AM131">
        <v>5592.6</v>
      </c>
      <c r="AN131">
        <v>1397.4</v>
      </c>
      <c r="AO131">
        <v>6990</v>
      </c>
      <c r="AP131">
        <v>0</v>
      </c>
      <c r="AQ131">
        <v>0</v>
      </c>
      <c r="AR131">
        <v>6990.0000000000009</v>
      </c>
      <c r="AS131">
        <v>10500</v>
      </c>
      <c r="AT131">
        <v>2960</v>
      </c>
      <c r="AU131">
        <v>46175</v>
      </c>
      <c r="AV131">
        <v>46181</v>
      </c>
      <c r="AW131" t="s">
        <v>204</v>
      </c>
      <c r="AX131">
        <v>0</v>
      </c>
      <c r="AY131">
        <v>-10500</v>
      </c>
      <c r="AZ131" t="s">
        <v>313</v>
      </c>
      <c r="BD131">
        <v>8</v>
      </c>
      <c r="BE131">
        <v>14</v>
      </c>
      <c r="BF131" t="s">
        <v>314</v>
      </c>
      <c r="BG131" t="s">
        <v>153</v>
      </c>
      <c r="BH131">
        <v>5592.6</v>
      </c>
      <c r="BI131">
        <v>46180</v>
      </c>
      <c r="BJ131">
        <v>13</v>
      </c>
      <c r="BK131">
        <v>1397.4</v>
      </c>
      <c r="BL131">
        <v>46199</v>
      </c>
      <c r="BM131">
        <v>32</v>
      </c>
      <c r="BN131">
        <v>6990</v>
      </c>
      <c r="BO131">
        <v>0</v>
      </c>
      <c r="BP131" t="str">
        <f t="shared" si="1"/>
        <v>HAEMBB</v>
      </c>
    </row>
    <row r="132" spans="1:68" x14ac:dyDescent="0.25">
      <c r="A132" t="s">
        <v>840</v>
      </c>
      <c r="B132" t="s">
        <v>841</v>
      </c>
      <c r="C132" t="s">
        <v>842</v>
      </c>
      <c r="D132">
        <v>5731.8</v>
      </c>
      <c r="E132">
        <v>6990</v>
      </c>
      <c r="F132">
        <v>2605</v>
      </c>
      <c r="G132" t="s">
        <v>159</v>
      </c>
      <c r="H132" t="s">
        <v>368</v>
      </c>
      <c r="I132" t="s">
        <v>843</v>
      </c>
      <c r="J132" t="s">
        <v>306</v>
      </c>
      <c r="K132" t="s">
        <v>307</v>
      </c>
      <c r="L132">
        <v>46168</v>
      </c>
      <c r="M132">
        <v>46169</v>
      </c>
      <c r="N132">
        <v>46169</v>
      </c>
      <c r="O132" t="s">
        <v>326</v>
      </c>
      <c r="P132" t="s">
        <v>327</v>
      </c>
      <c r="Q132" t="s">
        <v>328</v>
      </c>
      <c r="R132" t="s">
        <v>310</v>
      </c>
      <c r="S132" t="s">
        <v>211</v>
      </c>
      <c r="T132" t="s">
        <v>827</v>
      </c>
      <c r="U132">
        <v>779</v>
      </c>
      <c r="V132">
        <v>4658</v>
      </c>
      <c r="W132">
        <v>0</v>
      </c>
      <c r="X132">
        <v>1553</v>
      </c>
      <c r="Y132">
        <v>6990</v>
      </c>
      <c r="Z132">
        <v>0</v>
      </c>
      <c r="AA132" t="s">
        <v>204</v>
      </c>
      <c r="AB132">
        <v>6990</v>
      </c>
      <c r="AC132">
        <v>4333.8</v>
      </c>
      <c r="AD132">
        <v>4220</v>
      </c>
      <c r="AE132">
        <v>4220</v>
      </c>
      <c r="AF132">
        <v>0</v>
      </c>
      <c r="AG132">
        <v>0</v>
      </c>
      <c r="AH132" t="s">
        <v>312</v>
      </c>
      <c r="AI132" t="s">
        <v>312</v>
      </c>
      <c r="AJ132" t="s">
        <v>312</v>
      </c>
      <c r="AK132">
        <v>0</v>
      </c>
      <c r="AL132">
        <v>6990</v>
      </c>
      <c r="AM132">
        <v>5592.6</v>
      </c>
      <c r="AN132">
        <v>1397.3999999999999</v>
      </c>
      <c r="AO132">
        <v>6990</v>
      </c>
      <c r="AP132">
        <v>4220</v>
      </c>
      <c r="AQ132">
        <v>4220</v>
      </c>
      <c r="AR132">
        <v>6990.0000000000009</v>
      </c>
      <c r="AS132">
        <v>4220</v>
      </c>
      <c r="AT132">
        <v>0</v>
      </c>
      <c r="AU132">
        <v>46170</v>
      </c>
      <c r="AV132">
        <v>46181</v>
      </c>
      <c r="AW132" t="s">
        <v>204</v>
      </c>
      <c r="AX132">
        <v>0</v>
      </c>
      <c r="AY132">
        <v>0</v>
      </c>
      <c r="AZ132" t="s">
        <v>313</v>
      </c>
      <c r="BD132">
        <v>1</v>
      </c>
      <c r="BE132">
        <v>12</v>
      </c>
      <c r="BF132" t="s">
        <v>314</v>
      </c>
      <c r="BG132" t="s">
        <v>153</v>
      </c>
      <c r="BH132">
        <v>5592.6</v>
      </c>
      <c r="BI132">
        <v>46180</v>
      </c>
      <c r="BJ132">
        <v>11</v>
      </c>
      <c r="BK132">
        <v>1397.3999999999999</v>
      </c>
      <c r="BL132">
        <v>46199</v>
      </c>
      <c r="BM132">
        <v>30</v>
      </c>
      <c r="BN132">
        <v>6990</v>
      </c>
      <c r="BO132">
        <v>0</v>
      </c>
      <c r="BP132" t="str">
        <f t="shared" ref="BP132:BP195" si="2">G132&amp;BG132</f>
        <v>HAEMBB</v>
      </c>
    </row>
    <row r="133" spans="1:68" x14ac:dyDescent="0.25">
      <c r="A133" t="s">
        <v>844</v>
      </c>
      <c r="B133" t="s">
        <v>845</v>
      </c>
      <c r="C133" t="s">
        <v>846</v>
      </c>
      <c r="D133">
        <v>5731.8</v>
      </c>
      <c r="E133">
        <v>6990</v>
      </c>
      <c r="F133">
        <v>2605</v>
      </c>
      <c r="G133" t="s">
        <v>159</v>
      </c>
      <c r="H133" t="s">
        <v>368</v>
      </c>
      <c r="I133" t="s">
        <v>847</v>
      </c>
      <c r="J133" t="s">
        <v>306</v>
      </c>
      <c r="K133" t="s">
        <v>307</v>
      </c>
      <c r="L133">
        <v>46167</v>
      </c>
      <c r="M133">
        <v>46168</v>
      </c>
      <c r="N133">
        <v>46168</v>
      </c>
      <c r="O133" t="s">
        <v>848</v>
      </c>
      <c r="P133" t="s">
        <v>204</v>
      </c>
      <c r="Q133" t="s">
        <v>309</v>
      </c>
      <c r="R133" t="s">
        <v>310</v>
      </c>
      <c r="S133" t="s">
        <v>211</v>
      </c>
      <c r="T133" t="s">
        <v>827</v>
      </c>
      <c r="U133">
        <v>779</v>
      </c>
      <c r="V133">
        <v>4658</v>
      </c>
      <c r="W133">
        <v>0</v>
      </c>
      <c r="X133">
        <v>1553</v>
      </c>
      <c r="Y133">
        <v>6990</v>
      </c>
      <c r="Z133">
        <v>0</v>
      </c>
      <c r="AA133" t="s">
        <v>204</v>
      </c>
      <c r="AB133">
        <v>6990</v>
      </c>
      <c r="AC133">
        <v>4333.8</v>
      </c>
      <c r="AD133">
        <v>0</v>
      </c>
      <c r="AE133">
        <v>0</v>
      </c>
      <c r="AF133">
        <v>0</v>
      </c>
      <c r="AG133">
        <v>0</v>
      </c>
      <c r="AH133" t="s">
        <v>312</v>
      </c>
      <c r="AI133" t="s">
        <v>312</v>
      </c>
      <c r="AJ133" t="s">
        <v>312</v>
      </c>
      <c r="AK133">
        <v>0</v>
      </c>
      <c r="AL133">
        <v>6990</v>
      </c>
      <c r="AM133">
        <v>5592.6</v>
      </c>
      <c r="AN133">
        <v>1397.3999999999999</v>
      </c>
      <c r="AO133">
        <v>6990</v>
      </c>
      <c r="AP133">
        <v>0</v>
      </c>
      <c r="AQ133">
        <v>0</v>
      </c>
      <c r="AR133">
        <v>6990.0000000000009</v>
      </c>
      <c r="AS133">
        <v>0</v>
      </c>
      <c r="AT133">
        <v>2704</v>
      </c>
      <c r="AU133">
        <v>46171</v>
      </c>
      <c r="AV133">
        <v>46181</v>
      </c>
      <c r="AW133" t="s">
        <v>204</v>
      </c>
      <c r="AX133">
        <v>0</v>
      </c>
      <c r="AY133">
        <v>0</v>
      </c>
      <c r="AZ133" t="s">
        <v>313</v>
      </c>
      <c r="BD133">
        <v>3</v>
      </c>
      <c r="BE133">
        <v>13</v>
      </c>
      <c r="BF133" t="s">
        <v>314</v>
      </c>
      <c r="BG133" t="s">
        <v>153</v>
      </c>
      <c r="BH133">
        <v>5592.6</v>
      </c>
      <c r="BI133">
        <v>46180</v>
      </c>
      <c r="BJ133">
        <v>12</v>
      </c>
      <c r="BK133">
        <v>1397.3999999999999</v>
      </c>
      <c r="BL133">
        <v>46199</v>
      </c>
      <c r="BM133">
        <v>31</v>
      </c>
      <c r="BN133">
        <v>6990</v>
      </c>
      <c r="BO133">
        <v>0</v>
      </c>
      <c r="BP133" t="str">
        <f t="shared" si="2"/>
        <v>HAEMBB</v>
      </c>
    </row>
    <row r="134" spans="1:68" x14ac:dyDescent="0.25">
      <c r="A134" t="s">
        <v>849</v>
      </c>
      <c r="B134" t="s">
        <v>850</v>
      </c>
      <c r="C134" t="s">
        <v>851</v>
      </c>
      <c r="D134">
        <v>5731.8</v>
      </c>
      <c r="E134">
        <v>6990</v>
      </c>
      <c r="F134">
        <v>2605</v>
      </c>
      <c r="G134" t="s">
        <v>159</v>
      </c>
      <c r="H134" t="s">
        <v>368</v>
      </c>
      <c r="I134" t="s">
        <v>852</v>
      </c>
      <c r="J134" t="s">
        <v>306</v>
      </c>
      <c r="K134" t="s">
        <v>307</v>
      </c>
      <c r="L134">
        <v>46169</v>
      </c>
      <c r="M134">
        <v>46170</v>
      </c>
      <c r="N134">
        <v>46170</v>
      </c>
      <c r="O134" t="s">
        <v>318</v>
      </c>
      <c r="P134" t="s">
        <v>204</v>
      </c>
      <c r="Q134" t="s">
        <v>309</v>
      </c>
      <c r="R134" t="s">
        <v>310</v>
      </c>
      <c r="S134" t="s">
        <v>211</v>
      </c>
      <c r="T134" t="s">
        <v>827</v>
      </c>
      <c r="U134">
        <v>779</v>
      </c>
      <c r="V134">
        <v>4658</v>
      </c>
      <c r="W134">
        <v>0</v>
      </c>
      <c r="X134">
        <v>1553</v>
      </c>
      <c r="Y134">
        <v>6990</v>
      </c>
      <c r="Z134">
        <v>0</v>
      </c>
      <c r="AA134" t="s">
        <v>204</v>
      </c>
      <c r="AB134">
        <v>6990</v>
      </c>
      <c r="AC134">
        <v>4333.8</v>
      </c>
      <c r="AD134">
        <v>0</v>
      </c>
      <c r="AE134">
        <v>0</v>
      </c>
      <c r="AF134">
        <v>0</v>
      </c>
      <c r="AG134">
        <v>0</v>
      </c>
      <c r="AH134" t="s">
        <v>312</v>
      </c>
      <c r="AI134" t="s">
        <v>312</v>
      </c>
      <c r="AJ134" t="s">
        <v>312</v>
      </c>
      <c r="AK134">
        <v>0</v>
      </c>
      <c r="AL134">
        <v>6990</v>
      </c>
      <c r="AM134">
        <v>5592.6</v>
      </c>
      <c r="AN134">
        <v>1397.3999999999999</v>
      </c>
      <c r="AO134">
        <v>6990</v>
      </c>
      <c r="AP134">
        <v>0</v>
      </c>
      <c r="AQ134">
        <v>0</v>
      </c>
      <c r="AR134">
        <v>6990.0000000000009</v>
      </c>
      <c r="AS134">
        <v>0</v>
      </c>
      <c r="AT134">
        <v>2960</v>
      </c>
      <c r="AU134">
        <v>46171</v>
      </c>
      <c r="AV134">
        <v>46178</v>
      </c>
      <c r="AW134" t="s">
        <v>204</v>
      </c>
      <c r="AX134">
        <v>0</v>
      </c>
      <c r="AY134">
        <v>0</v>
      </c>
      <c r="AZ134" t="s">
        <v>313</v>
      </c>
      <c r="BD134">
        <v>1</v>
      </c>
      <c r="BE134">
        <v>8</v>
      </c>
      <c r="BF134" t="s">
        <v>314</v>
      </c>
      <c r="BG134" t="s">
        <v>153</v>
      </c>
      <c r="BH134">
        <v>5592.6</v>
      </c>
      <c r="BI134">
        <v>46194</v>
      </c>
      <c r="BJ134">
        <v>24</v>
      </c>
      <c r="BK134">
        <v>1397.3999999999999</v>
      </c>
      <c r="BL134">
        <v>46199</v>
      </c>
      <c r="BM134">
        <v>29</v>
      </c>
      <c r="BN134">
        <v>6990</v>
      </c>
      <c r="BO134">
        <v>0</v>
      </c>
      <c r="BP134" t="str">
        <f t="shared" si="2"/>
        <v>HAEMBB</v>
      </c>
    </row>
    <row r="135" spans="1:68" x14ac:dyDescent="0.25">
      <c r="A135" t="s">
        <v>853</v>
      </c>
      <c r="B135" t="s">
        <v>854</v>
      </c>
      <c r="C135" t="s">
        <v>855</v>
      </c>
      <c r="D135">
        <v>4324.68</v>
      </c>
      <c r="E135">
        <v>5274</v>
      </c>
      <c r="F135">
        <v>2605</v>
      </c>
      <c r="G135" t="s">
        <v>159</v>
      </c>
      <c r="H135" t="s">
        <v>368</v>
      </c>
      <c r="I135" t="s">
        <v>856</v>
      </c>
      <c r="J135" t="s">
        <v>306</v>
      </c>
      <c r="K135" t="s">
        <v>307</v>
      </c>
      <c r="L135">
        <v>46167</v>
      </c>
      <c r="M135">
        <v>46168</v>
      </c>
      <c r="N135">
        <v>46168</v>
      </c>
      <c r="O135" t="s">
        <v>308</v>
      </c>
      <c r="P135" t="s">
        <v>204</v>
      </c>
      <c r="Q135" t="s">
        <v>309</v>
      </c>
      <c r="R135" t="s">
        <v>310</v>
      </c>
      <c r="S135" t="s">
        <v>211</v>
      </c>
      <c r="T135" t="s">
        <v>827</v>
      </c>
      <c r="U135">
        <v>779</v>
      </c>
      <c r="V135">
        <v>2180</v>
      </c>
      <c r="W135">
        <v>0</v>
      </c>
      <c r="X135">
        <v>0</v>
      </c>
      <c r="Y135">
        <v>2959</v>
      </c>
      <c r="Z135">
        <v>0</v>
      </c>
      <c r="AA135" t="s">
        <v>204</v>
      </c>
      <c r="AB135">
        <v>2959</v>
      </c>
      <c r="AC135">
        <v>3269.88</v>
      </c>
      <c r="AD135">
        <v>0</v>
      </c>
      <c r="AE135">
        <v>0</v>
      </c>
      <c r="AF135">
        <v>0</v>
      </c>
      <c r="AG135">
        <v>0</v>
      </c>
      <c r="AH135" t="s">
        <v>312</v>
      </c>
      <c r="AI135" t="s">
        <v>312</v>
      </c>
      <c r="AJ135" t="s">
        <v>312</v>
      </c>
      <c r="AK135">
        <v>0</v>
      </c>
      <c r="AL135">
        <v>2959</v>
      </c>
      <c r="AM135">
        <v>2305</v>
      </c>
      <c r="AN135">
        <v>654</v>
      </c>
      <c r="AO135">
        <v>2959</v>
      </c>
      <c r="AP135">
        <v>0</v>
      </c>
      <c r="AQ135">
        <v>0</v>
      </c>
      <c r="AR135">
        <v>2959</v>
      </c>
      <c r="AS135">
        <v>0</v>
      </c>
      <c r="AT135">
        <v>2960</v>
      </c>
      <c r="AU135">
        <v>46170</v>
      </c>
      <c r="AV135">
        <v>46171</v>
      </c>
      <c r="AW135" t="s">
        <v>204</v>
      </c>
      <c r="AX135">
        <v>0</v>
      </c>
      <c r="AY135">
        <v>0</v>
      </c>
      <c r="AZ135" t="s">
        <v>313</v>
      </c>
      <c r="BD135">
        <v>2</v>
      </c>
      <c r="BE135">
        <v>3</v>
      </c>
      <c r="BF135" t="s">
        <v>314</v>
      </c>
      <c r="BG135" t="s">
        <v>153</v>
      </c>
      <c r="BH135">
        <v>2305</v>
      </c>
      <c r="BI135">
        <v>46180</v>
      </c>
      <c r="BJ135">
        <v>12</v>
      </c>
      <c r="BK135">
        <v>654</v>
      </c>
      <c r="BL135">
        <v>46199</v>
      </c>
      <c r="BM135">
        <v>31</v>
      </c>
      <c r="BN135">
        <v>2959</v>
      </c>
      <c r="BO135">
        <v>0</v>
      </c>
      <c r="BP135" t="str">
        <f t="shared" si="2"/>
        <v>HAEMBB</v>
      </c>
    </row>
    <row r="136" spans="1:68" x14ac:dyDescent="0.25">
      <c r="A136" t="s">
        <v>857</v>
      </c>
      <c r="B136" t="s">
        <v>858</v>
      </c>
      <c r="C136" t="s">
        <v>859</v>
      </c>
      <c r="D136">
        <v>17744.8</v>
      </c>
      <c r="E136">
        <v>21640</v>
      </c>
      <c r="F136">
        <v>2605</v>
      </c>
      <c r="G136" t="s">
        <v>159</v>
      </c>
      <c r="H136" t="s">
        <v>368</v>
      </c>
      <c r="I136" t="s">
        <v>860</v>
      </c>
      <c r="J136" t="s">
        <v>306</v>
      </c>
      <c r="K136" t="s">
        <v>307</v>
      </c>
      <c r="L136">
        <v>46170</v>
      </c>
      <c r="M136">
        <v>46170</v>
      </c>
      <c r="N136">
        <v>46170</v>
      </c>
      <c r="O136" t="s">
        <v>326</v>
      </c>
      <c r="P136" t="s">
        <v>327</v>
      </c>
      <c r="Q136" t="s">
        <v>328</v>
      </c>
      <c r="R136" t="s">
        <v>310</v>
      </c>
      <c r="S136" t="s">
        <v>211</v>
      </c>
      <c r="T136" t="s">
        <v>827</v>
      </c>
      <c r="U136">
        <v>779</v>
      </c>
      <c r="V136">
        <v>19308</v>
      </c>
      <c r="W136">
        <v>0</v>
      </c>
      <c r="X136">
        <v>1553</v>
      </c>
      <c r="Y136">
        <v>21640</v>
      </c>
      <c r="Z136">
        <v>0</v>
      </c>
      <c r="AA136" t="s">
        <v>204</v>
      </c>
      <c r="AB136">
        <v>21640</v>
      </c>
      <c r="AC136">
        <v>13416.8</v>
      </c>
      <c r="AD136">
        <v>10600</v>
      </c>
      <c r="AE136">
        <v>10600</v>
      </c>
      <c r="AF136">
        <v>0</v>
      </c>
      <c r="AG136">
        <v>0</v>
      </c>
      <c r="AH136" t="s">
        <v>312</v>
      </c>
      <c r="AI136" t="s">
        <v>312</v>
      </c>
      <c r="AJ136" t="s">
        <v>312</v>
      </c>
      <c r="AK136">
        <v>0</v>
      </c>
      <c r="AL136">
        <v>21640</v>
      </c>
      <c r="AM136">
        <v>15847.599999999999</v>
      </c>
      <c r="AN136">
        <v>5792.4</v>
      </c>
      <c r="AO136">
        <v>21640</v>
      </c>
      <c r="AP136">
        <v>10600</v>
      </c>
      <c r="AQ136">
        <v>10600</v>
      </c>
      <c r="AR136">
        <v>21639.999999999996</v>
      </c>
      <c r="AS136">
        <v>10600</v>
      </c>
      <c r="AT136">
        <v>0</v>
      </c>
      <c r="AU136">
        <v>46171</v>
      </c>
      <c r="AV136">
        <v>46181</v>
      </c>
      <c r="AW136" t="s">
        <v>204</v>
      </c>
      <c r="AX136">
        <v>0</v>
      </c>
      <c r="AY136">
        <v>0</v>
      </c>
      <c r="AZ136" t="s">
        <v>313</v>
      </c>
      <c r="BD136">
        <v>1</v>
      </c>
      <c r="BE136">
        <v>11</v>
      </c>
      <c r="BF136" t="s">
        <v>314</v>
      </c>
      <c r="BG136" t="s">
        <v>153</v>
      </c>
      <c r="BH136">
        <v>15847.599999999999</v>
      </c>
      <c r="BI136">
        <v>46180</v>
      </c>
      <c r="BJ136">
        <v>10</v>
      </c>
      <c r="BK136">
        <v>5792.4</v>
      </c>
      <c r="BL136">
        <v>46199</v>
      </c>
      <c r="BM136">
        <v>29</v>
      </c>
      <c r="BN136">
        <v>21640</v>
      </c>
      <c r="BO136">
        <v>0</v>
      </c>
      <c r="BP136" t="str">
        <f t="shared" si="2"/>
        <v>HAEMBB</v>
      </c>
    </row>
    <row r="137" spans="1:68" x14ac:dyDescent="0.25">
      <c r="A137" t="s">
        <v>861</v>
      </c>
      <c r="B137" t="s">
        <v>862</v>
      </c>
      <c r="C137" t="s">
        <v>863</v>
      </c>
      <c r="D137">
        <v>23808.7</v>
      </c>
      <c r="E137">
        <v>29035</v>
      </c>
      <c r="F137">
        <v>2605</v>
      </c>
      <c r="G137" t="s">
        <v>159</v>
      </c>
      <c r="H137" t="s">
        <v>793</v>
      </c>
      <c r="I137" t="s">
        <v>864</v>
      </c>
      <c r="J137" t="s">
        <v>306</v>
      </c>
      <c r="K137" t="s">
        <v>307</v>
      </c>
      <c r="L137">
        <v>46177</v>
      </c>
      <c r="M137">
        <v>46181</v>
      </c>
      <c r="N137">
        <v>46181</v>
      </c>
      <c r="O137" t="s">
        <v>326</v>
      </c>
      <c r="P137" t="s">
        <v>327</v>
      </c>
      <c r="Q137" t="s">
        <v>328</v>
      </c>
      <c r="R137" t="s">
        <v>310</v>
      </c>
      <c r="S137" t="s">
        <v>211</v>
      </c>
      <c r="T137" t="s">
        <v>865</v>
      </c>
      <c r="U137">
        <v>779</v>
      </c>
      <c r="V137">
        <v>24115</v>
      </c>
      <c r="W137">
        <v>0</v>
      </c>
      <c r="X137">
        <v>4141</v>
      </c>
      <c r="Y137">
        <v>29035</v>
      </c>
      <c r="Z137">
        <v>0</v>
      </c>
      <c r="AA137" t="s">
        <v>204</v>
      </c>
      <c r="AB137">
        <v>29035</v>
      </c>
      <c r="AC137">
        <v>18001.7</v>
      </c>
      <c r="AD137">
        <v>11800</v>
      </c>
      <c r="AE137">
        <v>11800</v>
      </c>
      <c r="AF137">
        <v>0</v>
      </c>
      <c r="AG137">
        <v>0</v>
      </c>
      <c r="AH137" t="s">
        <v>312</v>
      </c>
      <c r="AI137" t="s">
        <v>312</v>
      </c>
      <c r="AJ137" t="s">
        <v>312</v>
      </c>
      <c r="AK137">
        <v>0</v>
      </c>
      <c r="AL137">
        <v>29035</v>
      </c>
      <c r="AM137">
        <v>21800.5</v>
      </c>
      <c r="AN137">
        <v>7234.5</v>
      </c>
      <c r="AO137">
        <v>29035</v>
      </c>
      <c r="AP137">
        <v>11800</v>
      </c>
      <c r="AQ137">
        <v>11800</v>
      </c>
      <c r="AR137">
        <v>29035</v>
      </c>
      <c r="AS137">
        <v>11800</v>
      </c>
      <c r="AT137">
        <v>0</v>
      </c>
      <c r="AU137">
        <v>46183</v>
      </c>
      <c r="AV137">
        <v>46184</v>
      </c>
      <c r="AW137" t="s">
        <v>204</v>
      </c>
      <c r="AX137">
        <v>0</v>
      </c>
      <c r="AY137">
        <v>0</v>
      </c>
      <c r="AZ137" t="s">
        <v>313</v>
      </c>
      <c r="BD137">
        <v>2</v>
      </c>
      <c r="BE137">
        <v>3</v>
      </c>
      <c r="BF137" t="s">
        <v>314</v>
      </c>
      <c r="BG137" t="s">
        <v>153</v>
      </c>
      <c r="BH137">
        <v>24860.9</v>
      </c>
      <c r="BI137">
        <v>46199</v>
      </c>
      <c r="BJ137">
        <v>18</v>
      </c>
      <c r="BK137">
        <v>7234.5</v>
      </c>
      <c r="BL137">
        <v>46206</v>
      </c>
      <c r="BM137">
        <v>25</v>
      </c>
      <c r="BN137">
        <v>32095.4</v>
      </c>
      <c r="BO137">
        <v>0</v>
      </c>
      <c r="BP137" t="str">
        <f t="shared" si="2"/>
        <v>HAEMBB</v>
      </c>
    </row>
    <row r="138" spans="1:68" x14ac:dyDescent="0.25">
      <c r="A138" t="s">
        <v>866</v>
      </c>
      <c r="B138" t="s">
        <v>867</v>
      </c>
      <c r="C138" t="s">
        <v>868</v>
      </c>
      <c r="D138">
        <v>15311.039999999999</v>
      </c>
      <c r="E138">
        <v>18672</v>
      </c>
      <c r="F138">
        <v>2605</v>
      </c>
      <c r="G138" t="s">
        <v>159</v>
      </c>
      <c r="H138" t="s">
        <v>793</v>
      </c>
      <c r="I138" t="s">
        <v>869</v>
      </c>
      <c r="J138" t="s">
        <v>306</v>
      </c>
      <c r="K138" t="s">
        <v>307</v>
      </c>
      <c r="L138">
        <v>46200</v>
      </c>
      <c r="M138">
        <v>46200</v>
      </c>
      <c r="N138">
        <v>46200</v>
      </c>
      <c r="O138" t="s">
        <v>326</v>
      </c>
      <c r="P138" t="s">
        <v>327</v>
      </c>
      <c r="Q138" t="s">
        <v>328</v>
      </c>
      <c r="R138" t="s">
        <v>310</v>
      </c>
      <c r="S138" t="s">
        <v>211</v>
      </c>
      <c r="T138" t="s">
        <v>870</v>
      </c>
      <c r="U138">
        <v>779</v>
      </c>
      <c r="V138">
        <v>13752</v>
      </c>
      <c r="W138">
        <v>0</v>
      </c>
      <c r="X138">
        <v>4141</v>
      </c>
      <c r="Y138">
        <v>18672</v>
      </c>
      <c r="Z138">
        <v>4232</v>
      </c>
      <c r="AA138">
        <v>46207</v>
      </c>
      <c r="AB138">
        <v>22904</v>
      </c>
      <c r="AC138">
        <v>11576.64</v>
      </c>
      <c r="AD138">
        <v>8310</v>
      </c>
      <c r="AE138">
        <v>8310</v>
      </c>
      <c r="AF138">
        <v>0</v>
      </c>
      <c r="AG138">
        <v>0</v>
      </c>
      <c r="AH138" t="s">
        <v>312</v>
      </c>
      <c r="AI138" t="s">
        <v>312</v>
      </c>
      <c r="AJ138" t="s">
        <v>312</v>
      </c>
      <c r="AK138">
        <v>0</v>
      </c>
      <c r="AL138">
        <v>22904</v>
      </c>
      <c r="AM138">
        <v>0</v>
      </c>
      <c r="AN138">
        <v>0</v>
      </c>
      <c r="AO138">
        <v>0</v>
      </c>
      <c r="AP138">
        <v>8310</v>
      </c>
      <c r="AQ138">
        <v>8310</v>
      </c>
      <c r="AR138">
        <v>14363</v>
      </c>
      <c r="AS138">
        <v>6648</v>
      </c>
      <c r="AT138">
        <v>0</v>
      </c>
      <c r="AU138">
        <v>46205</v>
      </c>
      <c r="AV138">
        <v>46206</v>
      </c>
      <c r="AW138" t="s">
        <v>204</v>
      </c>
      <c r="AX138">
        <v>8541</v>
      </c>
      <c r="AY138">
        <v>1662</v>
      </c>
      <c r="AZ138" t="s">
        <v>313</v>
      </c>
      <c r="BD138">
        <v>5</v>
      </c>
      <c r="BE138">
        <v>6</v>
      </c>
      <c r="BF138" t="s">
        <v>314</v>
      </c>
      <c r="BG138" t="s">
        <v>153</v>
      </c>
      <c r="BH138">
        <v>18595</v>
      </c>
      <c r="BI138">
        <v>46220</v>
      </c>
      <c r="BJ138">
        <v>20</v>
      </c>
      <c r="BK138">
        <v>4047</v>
      </c>
      <c r="BL138">
        <v>46234</v>
      </c>
      <c r="BM138">
        <v>34</v>
      </c>
      <c r="BN138">
        <v>22642</v>
      </c>
      <c r="BO138">
        <v>262</v>
      </c>
      <c r="BP138" t="str">
        <f t="shared" si="2"/>
        <v>HAEMBB</v>
      </c>
    </row>
    <row r="139" spans="1:68" x14ac:dyDescent="0.25">
      <c r="A139" t="s">
        <v>871</v>
      </c>
      <c r="B139" t="s">
        <v>872</v>
      </c>
      <c r="C139" t="s">
        <v>873</v>
      </c>
      <c r="D139">
        <v>13454.559999999998</v>
      </c>
      <c r="E139">
        <v>16408</v>
      </c>
      <c r="F139">
        <v>2605</v>
      </c>
      <c r="G139" t="s">
        <v>159</v>
      </c>
      <c r="H139" t="s">
        <v>793</v>
      </c>
      <c r="I139" t="s">
        <v>874</v>
      </c>
      <c r="J139" t="s">
        <v>306</v>
      </c>
      <c r="K139" t="s">
        <v>307</v>
      </c>
      <c r="L139">
        <v>46175</v>
      </c>
      <c r="M139">
        <v>46175</v>
      </c>
      <c r="N139">
        <v>46175</v>
      </c>
      <c r="O139" t="s">
        <v>487</v>
      </c>
      <c r="P139" t="s">
        <v>204</v>
      </c>
      <c r="Q139" t="s">
        <v>309</v>
      </c>
      <c r="R139" t="s">
        <v>310</v>
      </c>
      <c r="S139" t="s">
        <v>211</v>
      </c>
      <c r="T139" t="s">
        <v>875</v>
      </c>
      <c r="U139">
        <v>779</v>
      </c>
      <c r="V139">
        <v>11488</v>
      </c>
      <c r="W139">
        <v>0</v>
      </c>
      <c r="X139">
        <v>4141</v>
      </c>
      <c r="Y139">
        <v>16408</v>
      </c>
      <c r="Z139">
        <v>0</v>
      </c>
      <c r="AA139" t="s">
        <v>204</v>
      </c>
      <c r="AB139">
        <v>16408</v>
      </c>
      <c r="AC139">
        <v>10172.959999999999</v>
      </c>
      <c r="AD139">
        <v>0</v>
      </c>
      <c r="AE139">
        <v>0</v>
      </c>
      <c r="AF139">
        <v>0</v>
      </c>
      <c r="AG139">
        <v>0</v>
      </c>
      <c r="AH139" t="s">
        <v>312</v>
      </c>
      <c r="AI139" t="s">
        <v>312</v>
      </c>
      <c r="AJ139" t="s">
        <v>312</v>
      </c>
      <c r="AK139">
        <v>0</v>
      </c>
      <c r="AL139">
        <v>16408</v>
      </c>
      <c r="AM139">
        <v>12961.599999999999</v>
      </c>
      <c r="AN139">
        <v>3446.4</v>
      </c>
      <c r="AO139">
        <v>16408</v>
      </c>
      <c r="AP139">
        <v>0</v>
      </c>
      <c r="AQ139">
        <v>0</v>
      </c>
      <c r="AR139">
        <v>16408</v>
      </c>
      <c r="AS139">
        <v>0</v>
      </c>
      <c r="AT139">
        <v>1352</v>
      </c>
      <c r="AU139">
        <v>46180</v>
      </c>
      <c r="AV139">
        <v>46181</v>
      </c>
      <c r="AW139" t="s">
        <v>204</v>
      </c>
      <c r="AX139">
        <v>0</v>
      </c>
      <c r="AY139">
        <v>0</v>
      </c>
      <c r="AZ139" t="s">
        <v>313</v>
      </c>
      <c r="BD139">
        <v>5</v>
      </c>
      <c r="BE139">
        <v>6</v>
      </c>
      <c r="BF139" t="s">
        <v>314</v>
      </c>
      <c r="BG139" t="s">
        <v>153</v>
      </c>
      <c r="BH139">
        <v>12961.599999999999</v>
      </c>
      <c r="BI139">
        <v>46194</v>
      </c>
      <c r="BJ139">
        <v>19</v>
      </c>
      <c r="BK139">
        <v>3446.4</v>
      </c>
      <c r="BL139">
        <v>46199</v>
      </c>
      <c r="BM139">
        <v>24</v>
      </c>
      <c r="BN139">
        <v>16408</v>
      </c>
      <c r="BO139">
        <v>0</v>
      </c>
      <c r="BP139" t="str">
        <f t="shared" si="2"/>
        <v>HAEMBB</v>
      </c>
    </row>
    <row r="140" spans="1:68" x14ac:dyDescent="0.25">
      <c r="A140" t="s">
        <v>876</v>
      </c>
      <c r="B140" t="s">
        <v>877</v>
      </c>
      <c r="C140" t="s">
        <v>878</v>
      </c>
      <c r="D140">
        <v>16854.28</v>
      </c>
      <c r="E140">
        <v>20554</v>
      </c>
      <c r="F140">
        <v>2605</v>
      </c>
      <c r="G140" t="s">
        <v>159</v>
      </c>
      <c r="H140" t="s">
        <v>793</v>
      </c>
      <c r="I140" t="s">
        <v>879</v>
      </c>
      <c r="J140" t="s">
        <v>306</v>
      </c>
      <c r="K140" t="s">
        <v>307</v>
      </c>
      <c r="L140">
        <v>46206</v>
      </c>
      <c r="M140">
        <v>46208</v>
      </c>
      <c r="N140">
        <v>46208</v>
      </c>
      <c r="O140" t="s">
        <v>326</v>
      </c>
      <c r="P140" t="s">
        <v>327</v>
      </c>
      <c r="Q140" t="s">
        <v>328</v>
      </c>
      <c r="R140" t="s">
        <v>310</v>
      </c>
      <c r="S140" t="s">
        <v>211</v>
      </c>
      <c r="T140" t="s">
        <v>880</v>
      </c>
      <c r="U140">
        <v>779</v>
      </c>
      <c r="V140">
        <v>15634</v>
      </c>
      <c r="W140">
        <v>0</v>
      </c>
      <c r="X140">
        <v>4141</v>
      </c>
      <c r="Y140">
        <v>20554</v>
      </c>
      <c r="Z140">
        <v>5395</v>
      </c>
      <c r="AA140">
        <v>46211</v>
      </c>
      <c r="AB140">
        <v>25949</v>
      </c>
      <c r="AC140">
        <v>12743.48</v>
      </c>
      <c r="AD140">
        <v>8860</v>
      </c>
      <c r="AE140">
        <v>8860</v>
      </c>
      <c r="AF140">
        <v>0</v>
      </c>
      <c r="AG140">
        <v>0</v>
      </c>
      <c r="AH140" t="s">
        <v>312</v>
      </c>
      <c r="AI140" t="s">
        <v>312</v>
      </c>
      <c r="AJ140" t="s">
        <v>312</v>
      </c>
      <c r="AK140">
        <v>0</v>
      </c>
      <c r="AL140">
        <v>20554</v>
      </c>
      <c r="AM140">
        <v>0</v>
      </c>
      <c r="AN140">
        <v>0</v>
      </c>
      <c r="AO140">
        <v>0</v>
      </c>
      <c r="AP140">
        <v>8860</v>
      </c>
      <c r="AQ140">
        <v>8860</v>
      </c>
      <c r="AR140">
        <v>15863.800000000001</v>
      </c>
      <c r="AS140">
        <v>7088</v>
      </c>
      <c r="AT140">
        <v>0</v>
      </c>
      <c r="AU140">
        <v>46211</v>
      </c>
      <c r="AV140">
        <v>46213</v>
      </c>
      <c r="AW140" t="s">
        <v>204</v>
      </c>
      <c r="AX140">
        <v>4690.1999999999989</v>
      </c>
      <c r="AY140">
        <v>1772</v>
      </c>
      <c r="AZ140" t="s">
        <v>313</v>
      </c>
      <c r="BD140">
        <v>1</v>
      </c>
      <c r="BE140">
        <v>5</v>
      </c>
      <c r="BF140" t="s">
        <v>314</v>
      </c>
      <c r="BG140" t="s">
        <v>153</v>
      </c>
      <c r="BH140">
        <v>19640.3</v>
      </c>
      <c r="BI140">
        <v>46220</v>
      </c>
      <c r="BJ140">
        <v>12</v>
      </c>
      <c r="BK140">
        <v>4690.2</v>
      </c>
      <c r="BL140">
        <v>46234</v>
      </c>
      <c r="BM140">
        <v>26</v>
      </c>
      <c r="BN140">
        <v>24330.5</v>
      </c>
      <c r="BO140">
        <v>1618.5</v>
      </c>
      <c r="BP140" t="str">
        <f t="shared" si="2"/>
        <v>HAEMBB</v>
      </c>
    </row>
    <row r="141" spans="1:68" x14ac:dyDescent="0.25">
      <c r="A141" t="s">
        <v>881</v>
      </c>
      <c r="B141" t="s">
        <v>882</v>
      </c>
      <c r="C141" t="s">
        <v>883</v>
      </c>
      <c r="D141">
        <v>19037.939999999999</v>
      </c>
      <c r="E141">
        <v>23217</v>
      </c>
      <c r="F141">
        <v>2605</v>
      </c>
      <c r="G141" t="s">
        <v>159</v>
      </c>
      <c r="H141" t="s">
        <v>793</v>
      </c>
      <c r="I141" t="s">
        <v>884</v>
      </c>
      <c r="J141" t="s">
        <v>306</v>
      </c>
      <c r="K141" t="s">
        <v>307</v>
      </c>
      <c r="L141">
        <v>46211</v>
      </c>
      <c r="M141">
        <v>46213</v>
      </c>
      <c r="N141">
        <v>46213</v>
      </c>
      <c r="O141" t="s">
        <v>326</v>
      </c>
      <c r="P141" t="s">
        <v>327</v>
      </c>
      <c r="Q141" t="s">
        <v>328</v>
      </c>
      <c r="R141" t="s">
        <v>310</v>
      </c>
      <c r="S141" t="s">
        <v>209</v>
      </c>
      <c r="T141" t="s">
        <v>885</v>
      </c>
      <c r="U141">
        <v>779</v>
      </c>
      <c r="V141">
        <v>18297</v>
      </c>
      <c r="W141">
        <v>0</v>
      </c>
      <c r="X141">
        <v>4141</v>
      </c>
      <c r="Y141">
        <v>23217</v>
      </c>
      <c r="Z141">
        <v>1023</v>
      </c>
      <c r="AA141">
        <v>46217</v>
      </c>
      <c r="AB141">
        <v>24240</v>
      </c>
      <c r="AC141">
        <v>14394.539999999999</v>
      </c>
      <c r="AD141">
        <v>11055</v>
      </c>
      <c r="AE141">
        <v>10755</v>
      </c>
      <c r="AF141">
        <v>300</v>
      </c>
      <c r="AG141">
        <v>0</v>
      </c>
      <c r="AH141" t="s">
        <v>312</v>
      </c>
      <c r="AI141" t="s">
        <v>312</v>
      </c>
      <c r="AJ141" t="s">
        <v>312</v>
      </c>
      <c r="AK141">
        <v>0</v>
      </c>
      <c r="AR141">
        <v>779</v>
      </c>
      <c r="AS141">
        <v>0</v>
      </c>
      <c r="AU141">
        <v>46216</v>
      </c>
      <c r="AV141">
        <v>46217</v>
      </c>
      <c r="AW141" t="s">
        <v>204</v>
      </c>
      <c r="AX141">
        <v>-779</v>
      </c>
      <c r="AY141">
        <v>11055</v>
      </c>
      <c r="AZ141" t="s">
        <v>313</v>
      </c>
      <c r="BD141">
        <v>3</v>
      </c>
      <c r="BE141">
        <v>4</v>
      </c>
      <c r="BF141" t="s">
        <v>314</v>
      </c>
      <c r="BG141" t="s">
        <v>153</v>
      </c>
      <c r="BH141">
        <v>18443.999999999996</v>
      </c>
      <c r="BI141">
        <v>46220</v>
      </c>
      <c r="BJ141">
        <v>7</v>
      </c>
      <c r="BK141">
        <v>5489.0999999999995</v>
      </c>
      <c r="BL141">
        <v>46234</v>
      </c>
      <c r="BM141">
        <v>21</v>
      </c>
      <c r="BN141">
        <v>23933.099999999995</v>
      </c>
      <c r="BO141">
        <v>306.90000000000509</v>
      </c>
      <c r="BP141" t="str">
        <f t="shared" si="2"/>
        <v>HAEMBB</v>
      </c>
    </row>
    <row r="142" spans="1:68" x14ac:dyDescent="0.25">
      <c r="A142" t="s">
        <v>886</v>
      </c>
      <c r="B142" t="s">
        <v>887</v>
      </c>
      <c r="C142" t="s">
        <v>888</v>
      </c>
      <c r="D142">
        <v>16823.12</v>
      </c>
      <c r="E142">
        <v>20516</v>
      </c>
      <c r="F142">
        <v>2605</v>
      </c>
      <c r="G142" t="s">
        <v>159</v>
      </c>
      <c r="H142" t="s">
        <v>793</v>
      </c>
      <c r="I142" t="s">
        <v>889</v>
      </c>
      <c r="J142" t="s">
        <v>306</v>
      </c>
      <c r="K142" t="s">
        <v>307</v>
      </c>
      <c r="L142">
        <v>46218</v>
      </c>
      <c r="M142">
        <v>46218</v>
      </c>
      <c r="N142">
        <v>46218</v>
      </c>
      <c r="O142" t="s">
        <v>326</v>
      </c>
      <c r="P142" t="s">
        <v>327</v>
      </c>
      <c r="Q142" t="s">
        <v>328</v>
      </c>
      <c r="R142" t="s">
        <v>310</v>
      </c>
      <c r="S142" t="s">
        <v>211</v>
      </c>
      <c r="T142" t="s">
        <v>890</v>
      </c>
      <c r="U142">
        <v>779</v>
      </c>
      <c r="V142">
        <v>15596</v>
      </c>
      <c r="W142">
        <v>0</v>
      </c>
      <c r="X142">
        <v>4141</v>
      </c>
      <c r="Y142">
        <v>20516</v>
      </c>
      <c r="Z142">
        <v>0</v>
      </c>
      <c r="AA142" t="s">
        <v>204</v>
      </c>
      <c r="AB142">
        <v>20516</v>
      </c>
      <c r="AC142">
        <v>12719.92</v>
      </c>
      <c r="AD142">
        <v>8490</v>
      </c>
      <c r="AE142">
        <v>8490</v>
      </c>
      <c r="AF142">
        <v>0</v>
      </c>
      <c r="AG142">
        <v>0</v>
      </c>
      <c r="AH142" t="s">
        <v>312</v>
      </c>
      <c r="AI142" t="s">
        <v>312</v>
      </c>
      <c r="AJ142" t="s">
        <v>312</v>
      </c>
      <c r="AK142">
        <v>0</v>
      </c>
      <c r="AR142">
        <v>0</v>
      </c>
      <c r="AS142">
        <v>0</v>
      </c>
      <c r="AU142">
        <v>46223</v>
      </c>
      <c r="AV142">
        <v>46223</v>
      </c>
      <c r="AW142" t="s">
        <v>204</v>
      </c>
      <c r="AX142">
        <v>0</v>
      </c>
      <c r="AY142">
        <v>8490</v>
      </c>
      <c r="AZ142" t="s">
        <v>313</v>
      </c>
      <c r="BD142">
        <v>5</v>
      </c>
      <c r="BE142">
        <v>5</v>
      </c>
      <c r="BF142" t="s">
        <v>314</v>
      </c>
      <c r="BG142" t="s">
        <v>153</v>
      </c>
      <c r="BH142">
        <v>15837.199999999999</v>
      </c>
      <c r="BI142">
        <v>46234</v>
      </c>
      <c r="BJ142">
        <v>16</v>
      </c>
      <c r="BK142">
        <v>4678.8</v>
      </c>
      <c r="BL142">
        <v>46234</v>
      </c>
      <c r="BM142">
        <v>16</v>
      </c>
      <c r="BN142">
        <v>20516</v>
      </c>
      <c r="BO142">
        <v>0</v>
      </c>
      <c r="BP142" t="str">
        <f t="shared" si="2"/>
        <v>HAEMBB</v>
      </c>
    </row>
    <row r="143" spans="1:68" x14ac:dyDescent="0.25">
      <c r="A143" t="s">
        <v>891</v>
      </c>
      <c r="B143" t="s">
        <v>892</v>
      </c>
      <c r="C143" t="s">
        <v>893</v>
      </c>
      <c r="D143">
        <v>17340.54</v>
      </c>
      <c r="E143">
        <v>21147</v>
      </c>
      <c r="F143">
        <v>2605</v>
      </c>
      <c r="G143" t="s">
        <v>159</v>
      </c>
      <c r="H143" t="s">
        <v>793</v>
      </c>
      <c r="I143" t="s">
        <v>894</v>
      </c>
      <c r="J143" t="s">
        <v>306</v>
      </c>
      <c r="K143" t="s">
        <v>307</v>
      </c>
      <c r="L143">
        <v>46185</v>
      </c>
      <c r="M143">
        <v>46185</v>
      </c>
      <c r="N143">
        <v>46185</v>
      </c>
      <c r="O143" t="s">
        <v>326</v>
      </c>
      <c r="P143" t="s">
        <v>327</v>
      </c>
      <c r="Q143" t="s">
        <v>328</v>
      </c>
      <c r="R143" t="s">
        <v>310</v>
      </c>
      <c r="S143" t="s">
        <v>211</v>
      </c>
      <c r="T143" t="s">
        <v>865</v>
      </c>
      <c r="U143">
        <v>779</v>
      </c>
      <c r="V143">
        <v>16227</v>
      </c>
      <c r="W143">
        <v>0</v>
      </c>
      <c r="X143">
        <v>4141</v>
      </c>
      <c r="Y143">
        <v>21147</v>
      </c>
      <c r="Z143">
        <v>6467</v>
      </c>
      <c r="AA143">
        <v>46207</v>
      </c>
      <c r="AB143">
        <v>27614</v>
      </c>
      <c r="AC143">
        <v>13111.14</v>
      </c>
      <c r="AD143">
        <v>8760</v>
      </c>
      <c r="AE143">
        <v>8760</v>
      </c>
      <c r="AF143">
        <v>0</v>
      </c>
      <c r="AG143">
        <v>0</v>
      </c>
      <c r="AH143" t="s">
        <v>312</v>
      </c>
      <c r="AI143" t="s">
        <v>312</v>
      </c>
      <c r="AJ143" t="s">
        <v>312</v>
      </c>
      <c r="AK143">
        <v>0</v>
      </c>
      <c r="AL143">
        <v>21147</v>
      </c>
      <c r="AM143">
        <v>16278.9</v>
      </c>
      <c r="AN143">
        <v>4868.0999999999995</v>
      </c>
      <c r="AO143">
        <v>21147</v>
      </c>
      <c r="AP143">
        <v>8760</v>
      </c>
      <c r="AQ143">
        <v>8760</v>
      </c>
      <c r="AR143">
        <v>21147</v>
      </c>
      <c r="AS143">
        <v>56010</v>
      </c>
      <c r="AT143">
        <v>0</v>
      </c>
      <c r="AU143">
        <v>46186</v>
      </c>
      <c r="AV143">
        <v>46189</v>
      </c>
      <c r="AW143" t="s">
        <v>204</v>
      </c>
      <c r="AX143">
        <v>0</v>
      </c>
      <c r="AY143">
        <v>-47250</v>
      </c>
      <c r="AZ143" t="s">
        <v>313</v>
      </c>
      <c r="BD143">
        <v>1</v>
      </c>
      <c r="BE143">
        <v>4</v>
      </c>
      <c r="BF143" t="s">
        <v>314</v>
      </c>
      <c r="BG143" t="s">
        <v>153</v>
      </c>
      <c r="BH143">
        <v>19339.300000000003</v>
      </c>
      <c r="BI143">
        <v>46199</v>
      </c>
      <c r="BJ143">
        <v>14</v>
      </c>
      <c r="BK143">
        <v>5496.5999999999995</v>
      </c>
      <c r="BL143">
        <v>46206</v>
      </c>
      <c r="BM143">
        <v>21</v>
      </c>
      <c r="BN143">
        <v>24835.9</v>
      </c>
      <c r="BO143">
        <v>2778.0999999999985</v>
      </c>
      <c r="BP143" t="str">
        <f t="shared" si="2"/>
        <v>HAEMBB</v>
      </c>
    </row>
    <row r="144" spans="1:68" x14ac:dyDescent="0.25">
      <c r="A144" t="s">
        <v>895</v>
      </c>
      <c r="B144" t="s">
        <v>896</v>
      </c>
      <c r="C144" t="s">
        <v>897</v>
      </c>
      <c r="D144">
        <v>17485.679999999997</v>
      </c>
      <c r="E144">
        <v>21324</v>
      </c>
      <c r="F144">
        <v>2605</v>
      </c>
      <c r="G144" t="s">
        <v>159</v>
      </c>
      <c r="H144" t="s">
        <v>793</v>
      </c>
      <c r="I144" t="s">
        <v>898</v>
      </c>
      <c r="J144" t="s">
        <v>306</v>
      </c>
      <c r="K144" t="s">
        <v>307</v>
      </c>
      <c r="L144">
        <v>46176</v>
      </c>
      <c r="M144">
        <v>46177</v>
      </c>
      <c r="N144">
        <v>46177</v>
      </c>
      <c r="O144" t="s">
        <v>487</v>
      </c>
      <c r="P144" t="s">
        <v>204</v>
      </c>
      <c r="Q144" t="s">
        <v>309</v>
      </c>
      <c r="R144" t="s">
        <v>310</v>
      </c>
      <c r="S144" t="s">
        <v>211</v>
      </c>
      <c r="T144" t="s">
        <v>875</v>
      </c>
      <c r="U144">
        <v>779</v>
      </c>
      <c r="V144">
        <v>16404</v>
      </c>
      <c r="W144">
        <v>0</v>
      </c>
      <c r="X144">
        <v>4141</v>
      </c>
      <c r="Y144">
        <v>21324</v>
      </c>
      <c r="Z144">
        <v>0</v>
      </c>
      <c r="AA144" t="s">
        <v>204</v>
      </c>
      <c r="AB144">
        <v>21324</v>
      </c>
      <c r="AC144">
        <v>13220.88</v>
      </c>
      <c r="AD144">
        <v>0</v>
      </c>
      <c r="AE144">
        <v>0</v>
      </c>
      <c r="AF144">
        <v>0</v>
      </c>
      <c r="AG144">
        <v>0</v>
      </c>
      <c r="AH144" t="s">
        <v>312</v>
      </c>
      <c r="AI144" t="s">
        <v>312</v>
      </c>
      <c r="AJ144" t="s">
        <v>312</v>
      </c>
      <c r="AK144">
        <v>0</v>
      </c>
      <c r="AL144">
        <v>21324</v>
      </c>
      <c r="AM144">
        <v>16402.799999999996</v>
      </c>
      <c r="AN144">
        <v>4921.2000000000007</v>
      </c>
      <c r="AO144">
        <v>21323.999999999996</v>
      </c>
      <c r="AP144">
        <v>0</v>
      </c>
      <c r="AQ144">
        <v>0</v>
      </c>
      <c r="AR144">
        <v>21324</v>
      </c>
      <c r="AS144">
        <v>0</v>
      </c>
      <c r="AT144">
        <v>2704</v>
      </c>
      <c r="AU144">
        <v>46181</v>
      </c>
      <c r="AV144">
        <v>46183</v>
      </c>
      <c r="AW144" t="s">
        <v>204</v>
      </c>
      <c r="AX144">
        <v>0</v>
      </c>
      <c r="AY144">
        <v>0</v>
      </c>
      <c r="AZ144" t="s">
        <v>313</v>
      </c>
      <c r="BD144">
        <v>4</v>
      </c>
      <c r="BE144">
        <v>6</v>
      </c>
      <c r="BF144" t="s">
        <v>314</v>
      </c>
      <c r="BG144" t="s">
        <v>153</v>
      </c>
      <c r="BH144">
        <v>16402.799999999996</v>
      </c>
      <c r="BI144">
        <v>46194</v>
      </c>
      <c r="BJ144">
        <v>17</v>
      </c>
      <c r="BK144">
        <v>4921.2000000000007</v>
      </c>
      <c r="BL144">
        <v>46199</v>
      </c>
      <c r="BM144">
        <v>22</v>
      </c>
      <c r="BN144">
        <v>21323.999999999996</v>
      </c>
      <c r="BO144">
        <v>0</v>
      </c>
      <c r="BP144" t="str">
        <f t="shared" si="2"/>
        <v>HAEMBB</v>
      </c>
    </row>
    <row r="145" spans="1:68" x14ac:dyDescent="0.25">
      <c r="A145" t="s">
        <v>899</v>
      </c>
      <c r="B145" t="s">
        <v>900</v>
      </c>
      <c r="C145" t="s">
        <v>901</v>
      </c>
      <c r="D145">
        <v>10310.68</v>
      </c>
      <c r="E145">
        <v>12574</v>
      </c>
      <c r="F145">
        <v>2605</v>
      </c>
      <c r="G145" t="s">
        <v>159</v>
      </c>
      <c r="H145" t="s">
        <v>793</v>
      </c>
      <c r="I145" t="s">
        <v>902</v>
      </c>
      <c r="J145" t="s">
        <v>306</v>
      </c>
      <c r="K145" t="s">
        <v>307</v>
      </c>
      <c r="L145">
        <v>46185</v>
      </c>
      <c r="M145">
        <v>46185</v>
      </c>
      <c r="N145">
        <v>46185</v>
      </c>
      <c r="O145" t="s">
        <v>318</v>
      </c>
      <c r="P145" t="s">
        <v>204</v>
      </c>
      <c r="Q145" t="s">
        <v>309</v>
      </c>
      <c r="R145" t="s">
        <v>903</v>
      </c>
      <c r="S145" t="s">
        <v>211</v>
      </c>
      <c r="T145" t="s">
        <v>865</v>
      </c>
      <c r="U145">
        <v>779</v>
      </c>
      <c r="V145">
        <v>10242</v>
      </c>
      <c r="W145">
        <v>0</v>
      </c>
      <c r="X145">
        <v>1553</v>
      </c>
      <c r="Y145">
        <v>12574</v>
      </c>
      <c r="Z145">
        <v>13505</v>
      </c>
      <c r="AA145">
        <v>46175</v>
      </c>
      <c r="AB145">
        <v>26079</v>
      </c>
      <c r="AC145">
        <v>7795.88</v>
      </c>
      <c r="AD145">
        <v>0</v>
      </c>
      <c r="AE145">
        <v>0</v>
      </c>
      <c r="AF145">
        <v>0</v>
      </c>
      <c r="AG145">
        <v>0</v>
      </c>
      <c r="AH145" t="s">
        <v>312</v>
      </c>
      <c r="AI145" t="s">
        <v>312</v>
      </c>
      <c r="AJ145" t="s">
        <v>312</v>
      </c>
      <c r="AK145">
        <v>0</v>
      </c>
      <c r="AL145">
        <v>12574</v>
      </c>
      <c r="AM145">
        <v>9501.4</v>
      </c>
      <c r="AN145">
        <v>3072.6</v>
      </c>
      <c r="AO145">
        <v>12574</v>
      </c>
      <c r="AP145">
        <v>0</v>
      </c>
      <c r="AQ145">
        <v>0</v>
      </c>
      <c r="AR145">
        <v>12574.000000000002</v>
      </c>
      <c r="AS145">
        <v>0</v>
      </c>
      <c r="AT145">
        <v>2832</v>
      </c>
      <c r="AU145">
        <v>46185</v>
      </c>
      <c r="AV145">
        <v>46189</v>
      </c>
      <c r="AW145" t="s">
        <v>204</v>
      </c>
      <c r="AX145">
        <v>0</v>
      </c>
      <c r="AY145">
        <v>0</v>
      </c>
      <c r="AZ145" t="s">
        <v>313</v>
      </c>
      <c r="BD145">
        <v>0</v>
      </c>
      <c r="BE145">
        <v>4</v>
      </c>
      <c r="BF145" t="s">
        <v>314</v>
      </c>
      <c r="BG145" t="s">
        <v>153</v>
      </c>
      <c r="BH145">
        <v>23006.400000000001</v>
      </c>
      <c r="BI145">
        <v>46199</v>
      </c>
      <c r="BJ145">
        <v>14</v>
      </c>
      <c r="BK145">
        <v>3072.6</v>
      </c>
      <c r="BL145">
        <v>46213</v>
      </c>
      <c r="BM145">
        <v>28</v>
      </c>
      <c r="BN145">
        <v>26079</v>
      </c>
      <c r="BO145">
        <v>0</v>
      </c>
      <c r="BP145" t="str">
        <f t="shared" si="2"/>
        <v>HAEMBB</v>
      </c>
    </row>
    <row r="146" spans="1:68" x14ac:dyDescent="0.25">
      <c r="A146" t="s">
        <v>904</v>
      </c>
      <c r="B146" t="s">
        <v>905</v>
      </c>
      <c r="C146" t="s">
        <v>906</v>
      </c>
      <c r="D146">
        <v>10722.32</v>
      </c>
      <c r="E146">
        <v>13076</v>
      </c>
      <c r="F146">
        <v>2605</v>
      </c>
      <c r="G146" t="s">
        <v>159</v>
      </c>
      <c r="H146" t="s">
        <v>793</v>
      </c>
      <c r="I146" t="s">
        <v>907</v>
      </c>
      <c r="J146" t="s">
        <v>306</v>
      </c>
      <c r="K146" t="s">
        <v>307</v>
      </c>
      <c r="L146">
        <v>46217</v>
      </c>
      <c r="M146">
        <v>46217</v>
      </c>
      <c r="N146">
        <v>46217</v>
      </c>
      <c r="O146" t="s">
        <v>326</v>
      </c>
      <c r="P146" t="s">
        <v>327</v>
      </c>
      <c r="Q146" t="s">
        <v>328</v>
      </c>
      <c r="R146" t="s">
        <v>310</v>
      </c>
      <c r="S146" t="s">
        <v>211</v>
      </c>
      <c r="T146" t="s">
        <v>890</v>
      </c>
      <c r="U146">
        <v>779</v>
      </c>
      <c r="V146">
        <v>10744</v>
      </c>
      <c r="W146">
        <v>0</v>
      </c>
      <c r="X146">
        <v>1553</v>
      </c>
      <c r="Y146">
        <v>13076</v>
      </c>
      <c r="Z146">
        <v>1023</v>
      </c>
      <c r="AA146">
        <v>46220</v>
      </c>
      <c r="AB146">
        <v>14099</v>
      </c>
      <c r="AC146">
        <v>8107.12</v>
      </c>
      <c r="AD146">
        <v>6710</v>
      </c>
      <c r="AE146">
        <v>6710</v>
      </c>
      <c r="AF146">
        <v>0</v>
      </c>
      <c r="AG146">
        <v>0</v>
      </c>
      <c r="AH146" t="s">
        <v>312</v>
      </c>
      <c r="AI146" t="s">
        <v>312</v>
      </c>
      <c r="AJ146" t="s">
        <v>312</v>
      </c>
      <c r="AK146">
        <v>0</v>
      </c>
      <c r="AR146">
        <v>779</v>
      </c>
      <c r="AS146">
        <v>0</v>
      </c>
      <c r="AU146">
        <v>46218</v>
      </c>
      <c r="AV146">
        <v>46220</v>
      </c>
      <c r="AW146" t="s">
        <v>204</v>
      </c>
      <c r="AX146">
        <v>-779</v>
      </c>
      <c r="AY146">
        <v>6710</v>
      </c>
      <c r="AZ146" t="s">
        <v>313</v>
      </c>
      <c r="BD146">
        <v>1</v>
      </c>
      <c r="BE146">
        <v>3</v>
      </c>
      <c r="BF146" t="s">
        <v>314</v>
      </c>
      <c r="BG146" t="s">
        <v>153</v>
      </c>
      <c r="BH146">
        <v>10568.9</v>
      </c>
      <c r="BI146">
        <v>46220</v>
      </c>
      <c r="BJ146">
        <v>3</v>
      </c>
      <c r="BK146">
        <v>3223.2</v>
      </c>
      <c r="BL146">
        <v>46241</v>
      </c>
      <c r="BM146">
        <v>24</v>
      </c>
      <c r="BN146">
        <v>13792.099999999999</v>
      </c>
      <c r="BO146">
        <v>306.90000000000146</v>
      </c>
      <c r="BP146" t="str">
        <f t="shared" si="2"/>
        <v>HAEMBB</v>
      </c>
    </row>
    <row r="147" spans="1:68" x14ac:dyDescent="0.25">
      <c r="A147" t="s">
        <v>908</v>
      </c>
      <c r="B147" t="s">
        <v>909</v>
      </c>
      <c r="C147" t="s">
        <v>205</v>
      </c>
      <c r="D147">
        <v>22701.7</v>
      </c>
      <c r="E147">
        <v>27685</v>
      </c>
      <c r="F147">
        <v>2605</v>
      </c>
      <c r="G147" t="s">
        <v>159</v>
      </c>
      <c r="H147" t="s">
        <v>793</v>
      </c>
      <c r="I147" t="s">
        <v>910</v>
      </c>
      <c r="J147" t="s">
        <v>306</v>
      </c>
      <c r="K147" t="s">
        <v>307</v>
      </c>
      <c r="L147">
        <v>46243</v>
      </c>
      <c r="M147">
        <v>46243</v>
      </c>
      <c r="N147">
        <v>46243</v>
      </c>
      <c r="O147" t="s">
        <v>911</v>
      </c>
      <c r="P147" t="s">
        <v>912</v>
      </c>
      <c r="Q147" t="s">
        <v>328</v>
      </c>
      <c r="R147" t="s">
        <v>310</v>
      </c>
      <c r="S147" t="s">
        <v>206</v>
      </c>
      <c r="T147" t="s">
        <v>913</v>
      </c>
      <c r="U147">
        <v>779</v>
      </c>
      <c r="V147">
        <v>22765</v>
      </c>
      <c r="W147">
        <v>0</v>
      </c>
      <c r="X147">
        <v>4141</v>
      </c>
      <c r="Y147">
        <v>27685</v>
      </c>
      <c r="Z147">
        <v>14973</v>
      </c>
      <c r="AA147">
        <v>46260</v>
      </c>
      <c r="AB147">
        <v>42658</v>
      </c>
      <c r="AC147">
        <v>17164.7</v>
      </c>
      <c r="AE147">
        <v>0</v>
      </c>
      <c r="AU147">
        <v>46251</v>
      </c>
      <c r="AV147">
        <v>46256</v>
      </c>
      <c r="AW147" t="s">
        <v>204</v>
      </c>
      <c r="AX147">
        <v>0</v>
      </c>
      <c r="AY147">
        <v>0</v>
      </c>
      <c r="AZ147" t="s">
        <v>313</v>
      </c>
      <c r="BD147">
        <v>8</v>
      </c>
      <c r="BE147">
        <v>13</v>
      </c>
      <c r="BF147" t="s">
        <v>314</v>
      </c>
      <c r="BG147" t="s">
        <v>153</v>
      </c>
      <c r="BH147">
        <v>779</v>
      </c>
      <c r="BI147">
        <v>46250</v>
      </c>
      <c r="BJ147">
        <v>7</v>
      </c>
      <c r="BK147">
        <v>0</v>
      </c>
      <c r="BN147">
        <v>779</v>
      </c>
      <c r="BO147">
        <v>41879</v>
      </c>
      <c r="BP147" t="str">
        <f t="shared" si="2"/>
        <v>HAEMBB</v>
      </c>
    </row>
    <row r="148" spans="1:68" x14ac:dyDescent="0.25">
      <c r="A148" t="s">
        <v>914</v>
      </c>
      <c r="B148" t="s">
        <v>915</v>
      </c>
      <c r="C148" t="s">
        <v>916</v>
      </c>
      <c r="D148">
        <v>14117.119999999999</v>
      </c>
      <c r="E148">
        <v>17216</v>
      </c>
      <c r="F148">
        <v>2605</v>
      </c>
      <c r="G148" t="s">
        <v>159</v>
      </c>
      <c r="H148" t="s">
        <v>793</v>
      </c>
      <c r="I148" t="s">
        <v>917</v>
      </c>
      <c r="J148" t="s">
        <v>306</v>
      </c>
      <c r="K148" t="s">
        <v>307</v>
      </c>
      <c r="L148">
        <v>46175</v>
      </c>
      <c r="M148">
        <v>46176</v>
      </c>
      <c r="N148">
        <v>46176</v>
      </c>
      <c r="O148" t="s">
        <v>326</v>
      </c>
      <c r="P148" t="s">
        <v>327</v>
      </c>
      <c r="Q148" t="s">
        <v>328</v>
      </c>
      <c r="R148" t="s">
        <v>310</v>
      </c>
      <c r="S148" t="s">
        <v>211</v>
      </c>
      <c r="T148" t="s">
        <v>875</v>
      </c>
      <c r="U148">
        <v>779</v>
      </c>
      <c r="V148">
        <v>12296</v>
      </c>
      <c r="W148">
        <v>0</v>
      </c>
      <c r="X148">
        <v>4141</v>
      </c>
      <c r="Y148">
        <v>17216</v>
      </c>
      <c r="Z148">
        <v>0</v>
      </c>
      <c r="AA148" t="s">
        <v>204</v>
      </c>
      <c r="AB148">
        <v>17216</v>
      </c>
      <c r="AC148">
        <v>10673.92</v>
      </c>
      <c r="AD148">
        <v>6690</v>
      </c>
      <c r="AE148">
        <v>6690</v>
      </c>
      <c r="AF148">
        <v>0</v>
      </c>
      <c r="AG148">
        <v>0</v>
      </c>
      <c r="AH148" t="s">
        <v>312</v>
      </c>
      <c r="AI148" t="s">
        <v>312</v>
      </c>
      <c r="AJ148" t="s">
        <v>312</v>
      </c>
      <c r="AK148">
        <v>0</v>
      </c>
      <c r="AL148">
        <v>17216</v>
      </c>
      <c r="AM148">
        <v>13527.199999999999</v>
      </c>
      <c r="AN148">
        <v>3688.7999999999997</v>
      </c>
      <c r="AO148">
        <v>17216</v>
      </c>
      <c r="AP148">
        <v>6690</v>
      </c>
      <c r="AQ148">
        <v>6690</v>
      </c>
      <c r="AR148">
        <v>17216</v>
      </c>
      <c r="AS148">
        <v>6690</v>
      </c>
      <c r="AT148">
        <v>0</v>
      </c>
      <c r="AU148">
        <v>46181</v>
      </c>
      <c r="AV148">
        <v>46183</v>
      </c>
      <c r="AW148" t="s">
        <v>204</v>
      </c>
      <c r="AX148">
        <v>0</v>
      </c>
      <c r="AY148">
        <v>0</v>
      </c>
      <c r="AZ148" t="s">
        <v>313</v>
      </c>
      <c r="BD148">
        <v>5</v>
      </c>
      <c r="BE148">
        <v>7</v>
      </c>
      <c r="BF148" t="s">
        <v>314</v>
      </c>
      <c r="BG148" t="s">
        <v>153</v>
      </c>
      <c r="BH148">
        <v>13527.199999999999</v>
      </c>
      <c r="BI148">
        <v>46194</v>
      </c>
      <c r="BJ148">
        <v>18</v>
      </c>
      <c r="BK148">
        <v>3688.7999999999997</v>
      </c>
      <c r="BL148">
        <v>46199</v>
      </c>
      <c r="BM148">
        <v>23</v>
      </c>
      <c r="BN148">
        <v>17216</v>
      </c>
      <c r="BO148">
        <v>0</v>
      </c>
      <c r="BP148" t="str">
        <f t="shared" si="2"/>
        <v>HAEMBB</v>
      </c>
    </row>
    <row r="149" spans="1:68" x14ac:dyDescent="0.25">
      <c r="A149" t="s">
        <v>918</v>
      </c>
      <c r="B149" t="s">
        <v>919</v>
      </c>
      <c r="C149" t="s">
        <v>920</v>
      </c>
      <c r="D149">
        <v>15066.68</v>
      </c>
      <c r="E149">
        <v>18374</v>
      </c>
      <c r="F149">
        <v>2605</v>
      </c>
      <c r="G149" t="s">
        <v>159</v>
      </c>
      <c r="H149" t="s">
        <v>793</v>
      </c>
      <c r="I149" t="s">
        <v>921</v>
      </c>
      <c r="J149" t="s">
        <v>306</v>
      </c>
      <c r="K149" t="s">
        <v>307</v>
      </c>
      <c r="L149">
        <v>46175</v>
      </c>
      <c r="M149">
        <v>46176</v>
      </c>
      <c r="N149">
        <v>46176</v>
      </c>
      <c r="O149" t="s">
        <v>326</v>
      </c>
      <c r="P149" t="s">
        <v>327</v>
      </c>
      <c r="Q149" t="s">
        <v>328</v>
      </c>
      <c r="R149" t="s">
        <v>310</v>
      </c>
      <c r="S149" t="s">
        <v>211</v>
      </c>
      <c r="T149" t="s">
        <v>875</v>
      </c>
      <c r="U149">
        <v>779</v>
      </c>
      <c r="V149">
        <v>13454</v>
      </c>
      <c r="W149">
        <v>0</v>
      </c>
      <c r="X149">
        <v>4141</v>
      </c>
      <c r="Y149">
        <v>18374</v>
      </c>
      <c r="Z149">
        <v>0</v>
      </c>
      <c r="AA149" t="s">
        <v>204</v>
      </c>
      <c r="AB149">
        <v>18374</v>
      </c>
      <c r="AC149">
        <v>11391.88</v>
      </c>
      <c r="AD149">
        <v>6378</v>
      </c>
      <c r="AE149">
        <v>6378</v>
      </c>
      <c r="AF149">
        <v>0</v>
      </c>
      <c r="AG149">
        <v>0</v>
      </c>
      <c r="AH149" t="s">
        <v>312</v>
      </c>
      <c r="AI149" t="s">
        <v>312</v>
      </c>
      <c r="AJ149" t="s">
        <v>312</v>
      </c>
      <c r="AK149">
        <v>0</v>
      </c>
      <c r="AL149">
        <v>18374</v>
      </c>
      <c r="AM149">
        <v>14337.8</v>
      </c>
      <c r="AN149">
        <v>0</v>
      </c>
      <c r="AO149">
        <v>14337.8</v>
      </c>
      <c r="AP149">
        <v>6378</v>
      </c>
      <c r="AQ149">
        <v>6378</v>
      </c>
      <c r="AR149">
        <v>14337.8</v>
      </c>
      <c r="AS149">
        <v>6378</v>
      </c>
      <c r="AT149">
        <v>0</v>
      </c>
      <c r="AU149">
        <v>46177</v>
      </c>
      <c r="AV149">
        <v>46178</v>
      </c>
      <c r="AW149" t="s">
        <v>204</v>
      </c>
      <c r="AX149">
        <v>4036.2000000000007</v>
      </c>
      <c r="AY149">
        <v>0</v>
      </c>
      <c r="AZ149" t="s">
        <v>313</v>
      </c>
      <c r="BD149">
        <v>1</v>
      </c>
      <c r="BE149">
        <v>2</v>
      </c>
      <c r="BF149" t="s">
        <v>314</v>
      </c>
      <c r="BG149" t="s">
        <v>153</v>
      </c>
      <c r="BH149">
        <v>14337.8</v>
      </c>
      <c r="BI149">
        <v>46199</v>
      </c>
      <c r="BJ149">
        <v>23</v>
      </c>
      <c r="BK149">
        <v>0</v>
      </c>
      <c r="BN149">
        <v>14337.8</v>
      </c>
      <c r="BO149">
        <v>4036.2000000000007</v>
      </c>
      <c r="BP149" t="str">
        <f t="shared" si="2"/>
        <v>HAEMBB</v>
      </c>
    </row>
    <row r="150" spans="1:68" x14ac:dyDescent="0.25">
      <c r="A150" t="s">
        <v>922</v>
      </c>
      <c r="B150" t="s">
        <v>923</v>
      </c>
      <c r="C150" t="s">
        <v>924</v>
      </c>
      <c r="D150">
        <v>10310.68</v>
      </c>
      <c r="E150">
        <v>12574</v>
      </c>
      <c r="F150">
        <v>2605</v>
      </c>
      <c r="G150" t="s">
        <v>159</v>
      </c>
      <c r="H150" t="s">
        <v>793</v>
      </c>
      <c r="I150" t="s">
        <v>925</v>
      </c>
      <c r="J150" t="s">
        <v>306</v>
      </c>
      <c r="K150" t="s">
        <v>307</v>
      </c>
      <c r="L150">
        <v>46176</v>
      </c>
      <c r="M150">
        <v>46177</v>
      </c>
      <c r="N150">
        <v>46177</v>
      </c>
      <c r="O150" t="s">
        <v>848</v>
      </c>
      <c r="P150" t="s">
        <v>204</v>
      </c>
      <c r="Q150" t="s">
        <v>309</v>
      </c>
      <c r="R150" t="s">
        <v>903</v>
      </c>
      <c r="S150" t="s">
        <v>211</v>
      </c>
      <c r="T150" t="s">
        <v>875</v>
      </c>
      <c r="U150">
        <v>779</v>
      </c>
      <c r="V150">
        <v>10242</v>
      </c>
      <c r="W150">
        <v>0</v>
      </c>
      <c r="X150">
        <v>1553</v>
      </c>
      <c r="Y150">
        <v>12574</v>
      </c>
      <c r="Z150">
        <v>3656</v>
      </c>
      <c r="AA150">
        <v>46207</v>
      </c>
      <c r="AB150">
        <v>16230</v>
      </c>
      <c r="AC150">
        <v>7795.88</v>
      </c>
      <c r="AD150">
        <v>0</v>
      </c>
      <c r="AE150">
        <v>0</v>
      </c>
      <c r="AF150">
        <v>0</v>
      </c>
      <c r="AG150">
        <v>0</v>
      </c>
      <c r="AH150" t="s">
        <v>312</v>
      </c>
      <c r="AI150" t="s">
        <v>312</v>
      </c>
      <c r="AJ150" t="s">
        <v>312</v>
      </c>
      <c r="AK150">
        <v>0</v>
      </c>
      <c r="AL150">
        <v>12574</v>
      </c>
      <c r="AM150">
        <v>9501.4</v>
      </c>
      <c r="AN150">
        <v>3072.6</v>
      </c>
      <c r="AO150">
        <v>12574</v>
      </c>
      <c r="AP150">
        <v>0</v>
      </c>
      <c r="AQ150">
        <v>0</v>
      </c>
      <c r="AR150">
        <v>12574.000000000002</v>
      </c>
      <c r="AS150">
        <v>0</v>
      </c>
      <c r="AT150">
        <v>2704</v>
      </c>
      <c r="AU150">
        <v>46181</v>
      </c>
      <c r="AV150">
        <v>46183</v>
      </c>
      <c r="AW150" t="s">
        <v>204</v>
      </c>
      <c r="AX150">
        <v>0</v>
      </c>
      <c r="AY150">
        <v>0</v>
      </c>
      <c r="AZ150" t="s">
        <v>313</v>
      </c>
      <c r="BD150">
        <v>4</v>
      </c>
      <c r="BE150">
        <v>6</v>
      </c>
      <c r="BF150" t="s">
        <v>314</v>
      </c>
      <c r="BG150" t="s">
        <v>153</v>
      </c>
      <c r="BH150">
        <v>13157.4</v>
      </c>
      <c r="BI150">
        <v>46194</v>
      </c>
      <c r="BJ150">
        <v>17</v>
      </c>
      <c r="BK150">
        <v>3072.6</v>
      </c>
      <c r="BL150">
        <v>46206</v>
      </c>
      <c r="BM150">
        <v>29</v>
      </c>
      <c r="BN150">
        <v>16230</v>
      </c>
      <c r="BO150">
        <v>0</v>
      </c>
      <c r="BP150" t="str">
        <f t="shared" si="2"/>
        <v>HAEMBB</v>
      </c>
    </row>
    <row r="151" spans="1:68" x14ac:dyDescent="0.25">
      <c r="A151" t="s">
        <v>926</v>
      </c>
      <c r="B151" t="s">
        <v>927</v>
      </c>
      <c r="C151" t="s">
        <v>928</v>
      </c>
      <c r="D151">
        <v>10722.32</v>
      </c>
      <c r="E151">
        <v>13076</v>
      </c>
      <c r="F151">
        <v>2605</v>
      </c>
      <c r="G151" t="s">
        <v>159</v>
      </c>
      <c r="H151" t="s">
        <v>793</v>
      </c>
      <c r="I151" t="s">
        <v>929</v>
      </c>
      <c r="J151" t="s">
        <v>306</v>
      </c>
      <c r="K151" t="s">
        <v>307</v>
      </c>
      <c r="N151">
        <v>0</v>
      </c>
      <c r="T151">
        <v>0</v>
      </c>
      <c r="U151">
        <v>779</v>
      </c>
      <c r="V151">
        <v>10744</v>
      </c>
      <c r="W151">
        <v>0</v>
      </c>
      <c r="X151">
        <v>1553</v>
      </c>
      <c r="Y151">
        <v>13076</v>
      </c>
      <c r="Z151">
        <v>0</v>
      </c>
      <c r="AA151" t="s">
        <v>204</v>
      </c>
      <c r="AB151">
        <v>13076</v>
      </c>
      <c r="AC151">
        <v>8107.12</v>
      </c>
      <c r="AW151" t="s">
        <v>204</v>
      </c>
      <c r="AX151">
        <v>0</v>
      </c>
      <c r="AY151">
        <v>0</v>
      </c>
      <c r="AZ151" t="s">
        <v>313</v>
      </c>
      <c r="BD151">
        <v>0</v>
      </c>
      <c r="BE151">
        <v>0</v>
      </c>
      <c r="BF151" t="s">
        <v>314</v>
      </c>
      <c r="BG151" t="s">
        <v>153</v>
      </c>
      <c r="BH151">
        <v>779</v>
      </c>
      <c r="BI151">
        <v>46220</v>
      </c>
      <c r="BK151">
        <v>0</v>
      </c>
      <c r="BM151">
        <v>0</v>
      </c>
      <c r="BN151">
        <v>779</v>
      </c>
      <c r="BO151">
        <v>12297</v>
      </c>
      <c r="BP151" t="str">
        <f t="shared" si="2"/>
        <v>HAEMBB</v>
      </c>
    </row>
    <row r="152" spans="1:68" x14ac:dyDescent="0.25">
      <c r="A152" t="s">
        <v>930</v>
      </c>
      <c r="B152" t="s">
        <v>931</v>
      </c>
      <c r="C152" t="s">
        <v>932</v>
      </c>
      <c r="D152">
        <v>12844.48</v>
      </c>
      <c r="E152">
        <v>15664</v>
      </c>
      <c r="F152">
        <v>2605</v>
      </c>
      <c r="G152" t="s">
        <v>159</v>
      </c>
      <c r="H152" t="s">
        <v>793</v>
      </c>
      <c r="I152" t="s">
        <v>933</v>
      </c>
      <c r="J152" t="s">
        <v>306</v>
      </c>
      <c r="K152" t="s">
        <v>307</v>
      </c>
      <c r="L152">
        <v>46209</v>
      </c>
      <c r="M152">
        <v>46209</v>
      </c>
      <c r="N152">
        <v>46209</v>
      </c>
      <c r="O152" t="s">
        <v>318</v>
      </c>
      <c r="P152" t="s">
        <v>204</v>
      </c>
      <c r="Q152" t="s">
        <v>309</v>
      </c>
      <c r="R152" t="s">
        <v>310</v>
      </c>
      <c r="S152" t="s">
        <v>211</v>
      </c>
      <c r="T152" t="s">
        <v>885</v>
      </c>
      <c r="U152">
        <v>779</v>
      </c>
      <c r="V152">
        <v>10744</v>
      </c>
      <c r="W152">
        <v>0</v>
      </c>
      <c r="X152">
        <v>4141</v>
      </c>
      <c r="Y152">
        <v>15664</v>
      </c>
      <c r="Z152">
        <v>1023</v>
      </c>
      <c r="AA152">
        <v>46218</v>
      </c>
      <c r="AB152">
        <v>16687</v>
      </c>
      <c r="AC152">
        <v>9711.68</v>
      </c>
      <c r="AD152">
        <v>0</v>
      </c>
      <c r="AE152">
        <v>0</v>
      </c>
      <c r="AF152">
        <v>0</v>
      </c>
      <c r="AG152">
        <v>0</v>
      </c>
      <c r="AH152" t="s">
        <v>312</v>
      </c>
      <c r="AI152" t="s">
        <v>312</v>
      </c>
      <c r="AJ152" t="s">
        <v>312</v>
      </c>
      <c r="AK152">
        <v>0</v>
      </c>
      <c r="AR152">
        <v>12440.8</v>
      </c>
      <c r="AS152">
        <v>0</v>
      </c>
      <c r="AU152">
        <v>46212</v>
      </c>
      <c r="AV152">
        <v>46213</v>
      </c>
      <c r="AW152" t="s">
        <v>204</v>
      </c>
      <c r="AX152">
        <v>-12440.8</v>
      </c>
      <c r="AY152">
        <v>0</v>
      </c>
      <c r="AZ152" t="s">
        <v>313</v>
      </c>
      <c r="BD152">
        <v>3</v>
      </c>
      <c r="BE152">
        <v>4</v>
      </c>
      <c r="BF152" t="s">
        <v>314</v>
      </c>
      <c r="BG152" t="s">
        <v>153</v>
      </c>
      <c r="BH152">
        <v>13156.9</v>
      </c>
      <c r="BI152">
        <v>46220</v>
      </c>
      <c r="BJ152">
        <v>11</v>
      </c>
      <c r="BK152">
        <v>3223.2</v>
      </c>
      <c r="BL152">
        <v>46234</v>
      </c>
      <c r="BM152">
        <v>25</v>
      </c>
      <c r="BN152">
        <v>16380.099999999999</v>
      </c>
      <c r="BO152">
        <v>306.90000000000146</v>
      </c>
      <c r="BP152" t="str">
        <f t="shared" si="2"/>
        <v>HAEMBB</v>
      </c>
    </row>
    <row r="153" spans="1:68" x14ac:dyDescent="0.25">
      <c r="A153" t="s">
        <v>934</v>
      </c>
      <c r="B153" t="s">
        <v>935</v>
      </c>
      <c r="C153" t="s">
        <v>936</v>
      </c>
      <c r="D153">
        <v>10507.48</v>
      </c>
      <c r="E153">
        <v>12814</v>
      </c>
      <c r="F153">
        <v>2605</v>
      </c>
      <c r="G153" t="s">
        <v>159</v>
      </c>
      <c r="H153" t="s">
        <v>793</v>
      </c>
      <c r="I153" t="s">
        <v>937</v>
      </c>
      <c r="J153" t="s">
        <v>306</v>
      </c>
      <c r="K153" t="s">
        <v>307</v>
      </c>
      <c r="L153">
        <v>46214</v>
      </c>
      <c r="M153">
        <v>46214</v>
      </c>
      <c r="N153">
        <v>46214</v>
      </c>
      <c r="O153" t="s">
        <v>938</v>
      </c>
      <c r="P153" t="s">
        <v>939</v>
      </c>
      <c r="Q153" t="s">
        <v>328</v>
      </c>
      <c r="R153" t="s">
        <v>310</v>
      </c>
      <c r="S153" t="s">
        <v>211</v>
      </c>
      <c r="T153" t="s">
        <v>885</v>
      </c>
      <c r="U153">
        <v>779</v>
      </c>
      <c r="V153">
        <v>10482</v>
      </c>
      <c r="W153">
        <v>0</v>
      </c>
      <c r="X153">
        <v>1553</v>
      </c>
      <c r="Y153">
        <v>12814</v>
      </c>
      <c r="Z153">
        <v>4232</v>
      </c>
      <c r="AA153">
        <v>46217</v>
      </c>
      <c r="AB153">
        <v>17046</v>
      </c>
      <c r="AC153">
        <v>7944.68</v>
      </c>
      <c r="AD153">
        <v>7320</v>
      </c>
      <c r="AE153">
        <v>7320</v>
      </c>
      <c r="AF153">
        <v>0</v>
      </c>
      <c r="AG153">
        <v>0</v>
      </c>
      <c r="AH153" t="s">
        <v>312</v>
      </c>
      <c r="AI153" t="s">
        <v>312</v>
      </c>
      <c r="AJ153" t="s">
        <v>312</v>
      </c>
      <c r="AK153">
        <v>0</v>
      </c>
      <c r="AR153">
        <v>779</v>
      </c>
      <c r="AS153">
        <v>5856</v>
      </c>
      <c r="AU153">
        <v>46217</v>
      </c>
      <c r="AV153">
        <v>46217</v>
      </c>
      <c r="AW153" t="s">
        <v>204</v>
      </c>
      <c r="AX153">
        <v>-779</v>
      </c>
      <c r="AY153">
        <v>1464</v>
      </c>
      <c r="AZ153" t="s">
        <v>313</v>
      </c>
      <c r="BD153">
        <v>3</v>
      </c>
      <c r="BE153">
        <v>3</v>
      </c>
      <c r="BF153" t="s">
        <v>314</v>
      </c>
      <c r="BG153" t="s">
        <v>153</v>
      </c>
      <c r="BH153">
        <v>13901.4</v>
      </c>
      <c r="BI153">
        <v>46220</v>
      </c>
      <c r="BJ153">
        <v>6</v>
      </c>
      <c r="BK153">
        <v>3144.6</v>
      </c>
      <c r="BL153">
        <v>46241</v>
      </c>
      <c r="BM153">
        <v>27</v>
      </c>
      <c r="BN153">
        <v>17046</v>
      </c>
      <c r="BO153">
        <v>0</v>
      </c>
      <c r="BP153" t="str">
        <f t="shared" si="2"/>
        <v>HAEMBB</v>
      </c>
    </row>
    <row r="154" spans="1:68" x14ac:dyDescent="0.25">
      <c r="A154" t="s">
        <v>940</v>
      </c>
      <c r="B154" t="s">
        <v>941</v>
      </c>
      <c r="C154" t="s">
        <v>942</v>
      </c>
      <c r="D154">
        <v>14404.119999999999</v>
      </c>
      <c r="E154">
        <v>17566</v>
      </c>
      <c r="F154">
        <v>2605</v>
      </c>
      <c r="G154" t="s">
        <v>159</v>
      </c>
      <c r="H154" t="s">
        <v>793</v>
      </c>
      <c r="I154" t="s">
        <v>943</v>
      </c>
      <c r="J154" t="s">
        <v>306</v>
      </c>
      <c r="K154" t="s">
        <v>307</v>
      </c>
      <c r="L154">
        <v>46179</v>
      </c>
      <c r="M154">
        <v>46181</v>
      </c>
      <c r="N154">
        <v>46181</v>
      </c>
      <c r="O154" t="s">
        <v>848</v>
      </c>
      <c r="P154" t="s">
        <v>204</v>
      </c>
      <c r="Q154" t="s">
        <v>309</v>
      </c>
      <c r="R154" t="s">
        <v>903</v>
      </c>
      <c r="S154" t="s">
        <v>211</v>
      </c>
      <c r="T154" t="s">
        <v>865</v>
      </c>
      <c r="U154">
        <v>779</v>
      </c>
      <c r="V154">
        <v>12646</v>
      </c>
      <c r="W154">
        <v>0</v>
      </c>
      <c r="X154">
        <v>4141</v>
      </c>
      <c r="Y154">
        <v>17566</v>
      </c>
      <c r="Z154">
        <v>0</v>
      </c>
      <c r="AA154" t="s">
        <v>204</v>
      </c>
      <c r="AB154">
        <v>17566</v>
      </c>
      <c r="AC154">
        <v>10890.92</v>
      </c>
      <c r="AD154">
        <v>0</v>
      </c>
      <c r="AE154">
        <v>0</v>
      </c>
      <c r="AF154">
        <v>0</v>
      </c>
      <c r="AG154">
        <v>0</v>
      </c>
      <c r="AH154" t="s">
        <v>312</v>
      </c>
      <c r="AI154" t="s">
        <v>312</v>
      </c>
      <c r="AJ154" t="s">
        <v>312</v>
      </c>
      <c r="AK154">
        <v>0</v>
      </c>
      <c r="AL154">
        <v>17566</v>
      </c>
      <c r="AM154">
        <v>13772.199999999999</v>
      </c>
      <c r="AN154">
        <v>3793.8</v>
      </c>
      <c r="AO154">
        <v>17566</v>
      </c>
      <c r="AP154">
        <v>0</v>
      </c>
      <c r="AQ154">
        <v>0</v>
      </c>
      <c r="AR154">
        <v>17566</v>
      </c>
      <c r="AS154">
        <v>0</v>
      </c>
      <c r="AT154">
        <v>4056</v>
      </c>
      <c r="AU154">
        <v>46182</v>
      </c>
      <c r="AV154">
        <v>46188</v>
      </c>
      <c r="AW154" t="s">
        <v>204</v>
      </c>
      <c r="AX154">
        <v>0</v>
      </c>
      <c r="AY154">
        <v>0</v>
      </c>
      <c r="AZ154" t="s">
        <v>313</v>
      </c>
      <c r="BD154">
        <v>1</v>
      </c>
      <c r="BE154">
        <v>7</v>
      </c>
      <c r="BF154" t="s">
        <v>314</v>
      </c>
      <c r="BG154" t="s">
        <v>153</v>
      </c>
      <c r="BH154">
        <v>13772.199999999999</v>
      </c>
      <c r="BI154">
        <v>46199</v>
      </c>
      <c r="BJ154">
        <v>18</v>
      </c>
      <c r="BK154">
        <v>3793.8</v>
      </c>
      <c r="BL154">
        <v>46206</v>
      </c>
      <c r="BM154">
        <v>25</v>
      </c>
      <c r="BN154">
        <v>17566</v>
      </c>
      <c r="BO154">
        <v>0</v>
      </c>
      <c r="BP154" t="str">
        <f t="shared" si="2"/>
        <v>HAEMBB</v>
      </c>
    </row>
    <row r="155" spans="1:68" x14ac:dyDescent="0.25">
      <c r="A155" t="s">
        <v>944</v>
      </c>
      <c r="B155" t="s">
        <v>945</v>
      </c>
      <c r="C155" t="s">
        <v>946</v>
      </c>
      <c r="D155">
        <v>24861.579999999998</v>
      </c>
      <c r="E155">
        <v>30319</v>
      </c>
      <c r="F155">
        <v>2605</v>
      </c>
      <c r="G155" t="s">
        <v>159</v>
      </c>
      <c r="H155" t="s">
        <v>793</v>
      </c>
      <c r="I155" t="s">
        <v>947</v>
      </c>
      <c r="J155" t="s">
        <v>306</v>
      </c>
      <c r="K155" t="s">
        <v>307</v>
      </c>
      <c r="L155">
        <v>46220</v>
      </c>
      <c r="M155">
        <v>46221</v>
      </c>
      <c r="N155">
        <v>46221</v>
      </c>
      <c r="O155" t="s">
        <v>326</v>
      </c>
      <c r="P155" t="s">
        <v>327</v>
      </c>
      <c r="Q155" t="s">
        <v>328</v>
      </c>
      <c r="R155" t="s">
        <v>310</v>
      </c>
      <c r="S155" t="s">
        <v>211</v>
      </c>
      <c r="T155" t="s">
        <v>890</v>
      </c>
      <c r="U155">
        <v>779</v>
      </c>
      <c r="V155">
        <v>25399</v>
      </c>
      <c r="W155">
        <v>0</v>
      </c>
      <c r="X155">
        <v>4141</v>
      </c>
      <c r="Y155">
        <v>30319</v>
      </c>
      <c r="Z155">
        <v>3300</v>
      </c>
      <c r="AA155">
        <v>46253</v>
      </c>
      <c r="AB155">
        <v>33619</v>
      </c>
      <c r="AC155">
        <v>18797.78</v>
      </c>
      <c r="AD155">
        <v>12840</v>
      </c>
      <c r="AE155">
        <v>12840</v>
      </c>
      <c r="AF155">
        <v>0</v>
      </c>
      <c r="AG155">
        <v>0</v>
      </c>
      <c r="AH155" t="s">
        <v>312</v>
      </c>
      <c r="AI155" t="s">
        <v>312</v>
      </c>
      <c r="AJ155" t="s">
        <v>312</v>
      </c>
      <c r="AK155">
        <v>0</v>
      </c>
      <c r="AR155">
        <v>0</v>
      </c>
      <c r="AS155">
        <v>0</v>
      </c>
      <c r="AU155">
        <v>46225</v>
      </c>
      <c r="AV155">
        <v>46225</v>
      </c>
      <c r="AW155" t="s">
        <v>204</v>
      </c>
      <c r="AX155">
        <v>0</v>
      </c>
      <c r="AY155">
        <v>12840</v>
      </c>
      <c r="AZ155" t="s">
        <v>313</v>
      </c>
      <c r="BD155">
        <v>4</v>
      </c>
      <c r="BE155">
        <v>4</v>
      </c>
      <c r="BF155" t="s">
        <v>314</v>
      </c>
      <c r="BG155" t="s">
        <v>153</v>
      </c>
      <c r="BH155">
        <v>22699.300000000003</v>
      </c>
      <c r="BI155">
        <v>46234</v>
      </c>
      <c r="BJ155">
        <v>13</v>
      </c>
      <c r="BK155">
        <v>7619.7</v>
      </c>
      <c r="BL155">
        <v>46241</v>
      </c>
      <c r="BM155">
        <v>20</v>
      </c>
      <c r="BN155">
        <v>30319.000000000004</v>
      </c>
      <c r="BO155">
        <v>3299.9999999999964</v>
      </c>
      <c r="BP155" t="str">
        <f t="shared" si="2"/>
        <v>HAEMBB</v>
      </c>
    </row>
    <row r="156" spans="1:68" x14ac:dyDescent="0.25">
      <c r="A156" t="s">
        <v>948</v>
      </c>
      <c r="B156" t="s">
        <v>949</v>
      </c>
      <c r="C156" t="s">
        <v>950</v>
      </c>
      <c r="D156">
        <v>10722.32</v>
      </c>
      <c r="E156">
        <v>13076</v>
      </c>
      <c r="F156">
        <v>2605</v>
      </c>
      <c r="G156" t="s">
        <v>159</v>
      </c>
      <c r="H156" t="s">
        <v>793</v>
      </c>
      <c r="I156" t="s">
        <v>951</v>
      </c>
      <c r="J156" t="s">
        <v>306</v>
      </c>
      <c r="K156" t="s">
        <v>307</v>
      </c>
      <c r="L156">
        <v>46202</v>
      </c>
      <c r="M156">
        <v>46203</v>
      </c>
      <c r="N156">
        <v>46203</v>
      </c>
      <c r="O156" t="s">
        <v>326</v>
      </c>
      <c r="P156" t="s">
        <v>327</v>
      </c>
      <c r="Q156" t="s">
        <v>328</v>
      </c>
      <c r="R156" t="s">
        <v>310</v>
      </c>
      <c r="S156" t="s">
        <v>211</v>
      </c>
      <c r="T156" t="s">
        <v>880</v>
      </c>
      <c r="U156">
        <v>779</v>
      </c>
      <c r="V156">
        <v>10744</v>
      </c>
      <c r="W156">
        <v>0</v>
      </c>
      <c r="X156">
        <v>1553</v>
      </c>
      <c r="Y156">
        <v>13076</v>
      </c>
      <c r="Z156">
        <v>1023</v>
      </c>
      <c r="AA156">
        <v>46207</v>
      </c>
      <c r="AB156">
        <v>14099</v>
      </c>
      <c r="AC156">
        <v>8107.12</v>
      </c>
      <c r="AD156">
        <v>6320</v>
      </c>
      <c r="AE156">
        <v>6320</v>
      </c>
      <c r="AF156">
        <v>0</v>
      </c>
      <c r="AG156">
        <v>0</v>
      </c>
      <c r="AH156" t="s">
        <v>312</v>
      </c>
      <c r="AI156" t="s">
        <v>312</v>
      </c>
      <c r="AJ156" t="s">
        <v>312</v>
      </c>
      <c r="AK156">
        <v>0</v>
      </c>
      <c r="AL156">
        <v>13076</v>
      </c>
      <c r="AM156">
        <v>0</v>
      </c>
      <c r="AN156">
        <v>0</v>
      </c>
      <c r="AO156">
        <v>0</v>
      </c>
      <c r="AP156">
        <v>6320</v>
      </c>
      <c r="AQ156">
        <v>6320</v>
      </c>
      <c r="AR156">
        <v>9852.7999999999993</v>
      </c>
      <c r="AS156">
        <v>5056</v>
      </c>
      <c r="AT156">
        <v>0</v>
      </c>
      <c r="AU156">
        <v>46205</v>
      </c>
      <c r="AV156">
        <v>46203</v>
      </c>
      <c r="AW156" t="s">
        <v>204</v>
      </c>
      <c r="AX156">
        <v>3223.2000000000007</v>
      </c>
      <c r="AY156">
        <v>1264</v>
      </c>
      <c r="AZ156" t="s">
        <v>313</v>
      </c>
      <c r="BD156">
        <v>2</v>
      </c>
      <c r="BE156">
        <v>0</v>
      </c>
      <c r="BF156" t="s">
        <v>314</v>
      </c>
      <c r="BG156" t="s">
        <v>153</v>
      </c>
      <c r="BH156">
        <v>10568.9</v>
      </c>
      <c r="BI156">
        <v>46220</v>
      </c>
      <c r="BJ156">
        <v>17</v>
      </c>
      <c r="BK156">
        <v>3223.2</v>
      </c>
      <c r="BL156">
        <v>46234</v>
      </c>
      <c r="BM156">
        <v>31</v>
      </c>
      <c r="BN156">
        <v>13792.099999999999</v>
      </c>
      <c r="BO156">
        <v>306.90000000000146</v>
      </c>
      <c r="BP156" t="str">
        <f t="shared" si="2"/>
        <v>HAEMBB</v>
      </c>
    </row>
    <row r="157" spans="1:68" x14ac:dyDescent="0.25">
      <c r="A157" t="s">
        <v>952</v>
      </c>
      <c r="B157" t="s">
        <v>953</v>
      </c>
      <c r="C157" t="s">
        <v>954</v>
      </c>
      <c r="D157">
        <v>11868.68</v>
      </c>
      <c r="E157">
        <v>14474</v>
      </c>
      <c r="F157">
        <v>2605</v>
      </c>
      <c r="G157" t="s">
        <v>159</v>
      </c>
      <c r="H157" t="s">
        <v>793</v>
      </c>
      <c r="I157" t="s">
        <v>955</v>
      </c>
      <c r="J157" t="s">
        <v>306</v>
      </c>
      <c r="K157" t="s">
        <v>307</v>
      </c>
      <c r="L157">
        <v>46217</v>
      </c>
      <c r="M157">
        <v>46218</v>
      </c>
      <c r="N157">
        <v>46218</v>
      </c>
      <c r="O157" t="s">
        <v>318</v>
      </c>
      <c r="P157" t="s">
        <v>204</v>
      </c>
      <c r="Q157" t="s">
        <v>309</v>
      </c>
      <c r="R157" t="s">
        <v>310</v>
      </c>
      <c r="S157" t="s">
        <v>211</v>
      </c>
      <c r="T157" t="s">
        <v>890</v>
      </c>
      <c r="U157">
        <v>779</v>
      </c>
      <c r="V157">
        <v>12142</v>
      </c>
      <c r="W157">
        <v>0</v>
      </c>
      <c r="X157">
        <v>1553</v>
      </c>
      <c r="Y157">
        <v>14474</v>
      </c>
      <c r="Z157">
        <v>8464</v>
      </c>
      <c r="AA157">
        <v>46220</v>
      </c>
      <c r="AB157">
        <v>22938</v>
      </c>
      <c r="AC157">
        <v>8973.8799999999992</v>
      </c>
      <c r="AD157">
        <v>0</v>
      </c>
      <c r="AE157">
        <v>0</v>
      </c>
      <c r="AF157">
        <v>0</v>
      </c>
      <c r="AG157">
        <v>0</v>
      </c>
      <c r="AH157" t="s">
        <v>312</v>
      </c>
      <c r="AI157" t="s">
        <v>312</v>
      </c>
      <c r="AJ157" t="s">
        <v>312</v>
      </c>
      <c r="AK157">
        <v>0</v>
      </c>
      <c r="AR157">
        <v>0</v>
      </c>
      <c r="AS157">
        <v>0</v>
      </c>
      <c r="AU157">
        <v>46218</v>
      </c>
      <c r="AV157">
        <v>46223</v>
      </c>
      <c r="AW157" t="s">
        <v>204</v>
      </c>
      <c r="AX157">
        <v>0</v>
      </c>
      <c r="AY157">
        <v>0</v>
      </c>
      <c r="AZ157" t="s">
        <v>313</v>
      </c>
      <c r="BD157">
        <v>0</v>
      </c>
      <c r="BE157">
        <v>5</v>
      </c>
      <c r="BF157" t="s">
        <v>314</v>
      </c>
      <c r="BG157" t="s">
        <v>153</v>
      </c>
      <c r="BH157">
        <v>15063.4</v>
      </c>
      <c r="BI157">
        <v>46234</v>
      </c>
      <c r="BJ157">
        <v>16</v>
      </c>
      <c r="BK157">
        <v>3642.6</v>
      </c>
      <c r="BL157">
        <v>46234</v>
      </c>
      <c r="BM157">
        <v>16</v>
      </c>
      <c r="BN157">
        <v>18706</v>
      </c>
      <c r="BO157">
        <v>4232</v>
      </c>
      <c r="BP157" t="str">
        <f t="shared" si="2"/>
        <v>HAEMBB</v>
      </c>
    </row>
    <row r="158" spans="1:68" x14ac:dyDescent="0.25">
      <c r="A158" t="s">
        <v>956</v>
      </c>
      <c r="B158" t="s">
        <v>957</v>
      </c>
      <c r="C158" t="s">
        <v>958</v>
      </c>
      <c r="D158">
        <v>19429.900000000001</v>
      </c>
      <c r="E158">
        <v>23695</v>
      </c>
      <c r="F158">
        <v>2605</v>
      </c>
      <c r="G158" t="s">
        <v>159</v>
      </c>
      <c r="H158" t="s">
        <v>793</v>
      </c>
      <c r="I158" t="s">
        <v>959</v>
      </c>
      <c r="J158" t="s">
        <v>306</v>
      </c>
      <c r="K158" t="s">
        <v>307</v>
      </c>
      <c r="L158">
        <v>46215</v>
      </c>
      <c r="M158">
        <v>46216</v>
      </c>
      <c r="N158">
        <v>46216</v>
      </c>
      <c r="O158" t="s">
        <v>326</v>
      </c>
      <c r="P158" t="s">
        <v>327</v>
      </c>
      <c r="Q158" t="s">
        <v>328</v>
      </c>
      <c r="R158" t="s">
        <v>310</v>
      </c>
      <c r="S158" t="s">
        <v>211</v>
      </c>
      <c r="T158" t="s">
        <v>890</v>
      </c>
      <c r="U158">
        <v>779</v>
      </c>
      <c r="V158">
        <v>18775</v>
      </c>
      <c r="W158">
        <v>0</v>
      </c>
      <c r="X158">
        <v>4141</v>
      </c>
      <c r="Y158">
        <v>23695</v>
      </c>
      <c r="Z158">
        <v>4232</v>
      </c>
      <c r="AA158">
        <v>46222</v>
      </c>
      <c r="AB158">
        <v>27927</v>
      </c>
      <c r="AC158">
        <v>14690.9</v>
      </c>
      <c r="AD158">
        <v>10660</v>
      </c>
      <c r="AE158">
        <v>10660</v>
      </c>
      <c r="AF158">
        <v>0</v>
      </c>
      <c r="AG158">
        <v>0</v>
      </c>
      <c r="AH158" t="s">
        <v>312</v>
      </c>
      <c r="AI158" t="s">
        <v>312</v>
      </c>
      <c r="AJ158" t="s">
        <v>312</v>
      </c>
      <c r="AK158">
        <v>0</v>
      </c>
      <c r="AR158">
        <v>0</v>
      </c>
      <c r="AS158">
        <v>0</v>
      </c>
      <c r="AU158">
        <v>46218</v>
      </c>
      <c r="AV158">
        <v>46218</v>
      </c>
      <c r="AW158" t="s">
        <v>204</v>
      </c>
      <c r="AX158">
        <v>0</v>
      </c>
      <c r="AY158">
        <v>10660</v>
      </c>
      <c r="AZ158" t="s">
        <v>313</v>
      </c>
      <c r="BD158">
        <v>2</v>
      </c>
      <c r="BE158">
        <v>2</v>
      </c>
      <c r="BF158" t="s">
        <v>314</v>
      </c>
      <c r="BG158" t="s">
        <v>153</v>
      </c>
      <c r="BH158">
        <v>22294.5</v>
      </c>
      <c r="BI158">
        <v>46234</v>
      </c>
      <c r="BJ158">
        <v>18</v>
      </c>
      <c r="BK158">
        <v>5632.5</v>
      </c>
      <c r="BL158">
        <v>46234</v>
      </c>
      <c r="BM158">
        <v>18</v>
      </c>
      <c r="BN158">
        <v>27927</v>
      </c>
      <c r="BO158">
        <v>0</v>
      </c>
      <c r="BP158" t="str">
        <f t="shared" si="2"/>
        <v>HAEMBB</v>
      </c>
    </row>
    <row r="159" spans="1:68" x14ac:dyDescent="0.25">
      <c r="A159" t="s">
        <v>960</v>
      </c>
      <c r="B159" t="s">
        <v>961</v>
      </c>
      <c r="C159" t="s">
        <v>962</v>
      </c>
      <c r="D159">
        <v>16058.880000000001</v>
      </c>
      <c r="E159">
        <v>19584</v>
      </c>
      <c r="F159">
        <v>2605</v>
      </c>
      <c r="G159" t="s">
        <v>159</v>
      </c>
      <c r="H159" t="s">
        <v>793</v>
      </c>
      <c r="I159" t="s">
        <v>963</v>
      </c>
      <c r="J159" t="s">
        <v>306</v>
      </c>
      <c r="K159" t="s">
        <v>307</v>
      </c>
      <c r="L159">
        <v>46212</v>
      </c>
      <c r="M159">
        <v>46212</v>
      </c>
      <c r="N159">
        <v>46212</v>
      </c>
      <c r="O159" t="s">
        <v>938</v>
      </c>
      <c r="P159" t="s">
        <v>939</v>
      </c>
      <c r="Q159" t="s">
        <v>328</v>
      </c>
      <c r="R159" t="s">
        <v>310</v>
      </c>
      <c r="S159" t="s">
        <v>211</v>
      </c>
      <c r="T159" t="s">
        <v>885</v>
      </c>
      <c r="U159">
        <v>779</v>
      </c>
      <c r="V159">
        <v>14664</v>
      </c>
      <c r="W159">
        <v>0</v>
      </c>
      <c r="X159">
        <v>4141</v>
      </c>
      <c r="Y159">
        <v>19584</v>
      </c>
      <c r="Z159">
        <v>1023</v>
      </c>
      <c r="AA159">
        <v>46218</v>
      </c>
      <c r="AB159">
        <v>20607</v>
      </c>
      <c r="AC159">
        <v>12142.08</v>
      </c>
      <c r="AD159">
        <v>8610</v>
      </c>
      <c r="AE159">
        <v>8610</v>
      </c>
      <c r="AF159">
        <v>0</v>
      </c>
      <c r="AG159">
        <v>0</v>
      </c>
      <c r="AH159" t="s">
        <v>312</v>
      </c>
      <c r="AI159" t="s">
        <v>312</v>
      </c>
      <c r="AJ159" t="s">
        <v>312</v>
      </c>
      <c r="AK159">
        <v>0</v>
      </c>
      <c r="AR159">
        <v>0</v>
      </c>
      <c r="AS159">
        <v>0</v>
      </c>
      <c r="AU159">
        <v>46216</v>
      </c>
      <c r="AV159">
        <v>46217</v>
      </c>
      <c r="AW159" t="s">
        <v>204</v>
      </c>
      <c r="AX159">
        <v>0</v>
      </c>
      <c r="AY159">
        <v>8610</v>
      </c>
      <c r="AZ159" t="s">
        <v>313</v>
      </c>
      <c r="BD159">
        <v>4</v>
      </c>
      <c r="BE159">
        <v>5</v>
      </c>
      <c r="BF159" t="s">
        <v>314</v>
      </c>
      <c r="BG159" t="s">
        <v>153</v>
      </c>
      <c r="BH159">
        <v>15900.9</v>
      </c>
      <c r="BI159">
        <v>46227</v>
      </c>
      <c r="BJ159">
        <v>15</v>
      </c>
      <c r="BK159">
        <v>4399.2</v>
      </c>
      <c r="BL159">
        <v>46234</v>
      </c>
      <c r="BM159">
        <v>22</v>
      </c>
      <c r="BN159">
        <v>20300.099999999999</v>
      </c>
      <c r="BO159">
        <v>306.90000000000146</v>
      </c>
      <c r="BP159" t="str">
        <f t="shared" si="2"/>
        <v>HAEMBB</v>
      </c>
    </row>
    <row r="160" spans="1:68" x14ac:dyDescent="0.25">
      <c r="A160" t="s">
        <v>964</v>
      </c>
      <c r="B160" t="s">
        <v>965</v>
      </c>
      <c r="C160" t="s">
        <v>966</v>
      </c>
      <c r="D160">
        <v>15785.82</v>
      </c>
      <c r="E160">
        <v>19251</v>
      </c>
      <c r="F160">
        <v>2605</v>
      </c>
      <c r="G160" t="s">
        <v>159</v>
      </c>
      <c r="H160" t="s">
        <v>793</v>
      </c>
      <c r="I160" t="s">
        <v>967</v>
      </c>
      <c r="J160" t="s">
        <v>306</v>
      </c>
      <c r="K160" t="s">
        <v>307</v>
      </c>
      <c r="L160">
        <v>46219</v>
      </c>
      <c r="M160">
        <v>46220</v>
      </c>
      <c r="N160">
        <v>46220</v>
      </c>
      <c r="O160" t="s">
        <v>318</v>
      </c>
      <c r="P160" t="s">
        <v>204</v>
      </c>
      <c r="Q160" t="s">
        <v>309</v>
      </c>
      <c r="R160" t="s">
        <v>310</v>
      </c>
      <c r="S160" t="s">
        <v>209</v>
      </c>
      <c r="T160" t="s">
        <v>890</v>
      </c>
      <c r="U160">
        <v>779</v>
      </c>
      <c r="V160">
        <v>14331</v>
      </c>
      <c r="W160">
        <v>0</v>
      </c>
      <c r="X160">
        <v>4141</v>
      </c>
      <c r="Y160">
        <v>19251</v>
      </c>
      <c r="Z160">
        <v>4232</v>
      </c>
      <c r="AA160">
        <v>46225</v>
      </c>
      <c r="AB160">
        <v>23483</v>
      </c>
      <c r="AC160">
        <v>11935.62</v>
      </c>
      <c r="AD160">
        <v>300</v>
      </c>
      <c r="AE160">
        <v>300</v>
      </c>
      <c r="AF160">
        <v>300</v>
      </c>
      <c r="AG160">
        <v>0</v>
      </c>
      <c r="AH160" t="s">
        <v>312</v>
      </c>
      <c r="AI160" t="s">
        <v>312</v>
      </c>
      <c r="AJ160" t="s">
        <v>312</v>
      </c>
      <c r="AK160">
        <v>0</v>
      </c>
      <c r="AR160">
        <v>0</v>
      </c>
      <c r="AS160">
        <v>0</v>
      </c>
      <c r="AU160">
        <v>46221</v>
      </c>
      <c r="AV160">
        <v>46222</v>
      </c>
      <c r="AW160" t="s">
        <v>204</v>
      </c>
      <c r="AX160">
        <v>0</v>
      </c>
      <c r="AY160">
        <v>300</v>
      </c>
      <c r="AZ160" t="s">
        <v>313</v>
      </c>
      <c r="BD160">
        <v>1</v>
      </c>
      <c r="BE160">
        <v>2</v>
      </c>
      <c r="BF160" t="s">
        <v>314</v>
      </c>
      <c r="BG160" t="s">
        <v>153</v>
      </c>
      <c r="BH160">
        <v>19183.7</v>
      </c>
      <c r="BI160">
        <v>46234</v>
      </c>
      <c r="BJ160">
        <v>14</v>
      </c>
      <c r="BK160">
        <v>4299.3</v>
      </c>
      <c r="BL160">
        <v>46255</v>
      </c>
      <c r="BM160">
        <v>35</v>
      </c>
      <c r="BN160">
        <v>23483</v>
      </c>
      <c r="BO160">
        <v>0</v>
      </c>
      <c r="BP160" t="str">
        <f t="shared" si="2"/>
        <v>HAEMBB</v>
      </c>
    </row>
    <row r="161" spans="1:68" x14ac:dyDescent="0.25">
      <c r="A161" t="s">
        <v>968</v>
      </c>
      <c r="B161" t="s">
        <v>969</v>
      </c>
      <c r="C161" t="s">
        <v>970</v>
      </c>
      <c r="D161">
        <v>12844.48</v>
      </c>
      <c r="E161">
        <v>15664</v>
      </c>
      <c r="F161">
        <v>2605</v>
      </c>
      <c r="G161" t="s">
        <v>159</v>
      </c>
      <c r="H161" t="s">
        <v>793</v>
      </c>
      <c r="I161" t="s">
        <v>971</v>
      </c>
      <c r="J161" t="s">
        <v>306</v>
      </c>
      <c r="K161" t="s">
        <v>307</v>
      </c>
      <c r="L161">
        <v>46214</v>
      </c>
      <c r="M161">
        <v>46214</v>
      </c>
      <c r="N161">
        <v>46214</v>
      </c>
      <c r="O161" t="s">
        <v>938</v>
      </c>
      <c r="P161" t="s">
        <v>939</v>
      </c>
      <c r="Q161" t="s">
        <v>328</v>
      </c>
      <c r="R161" t="s">
        <v>310</v>
      </c>
      <c r="S161" t="s">
        <v>209</v>
      </c>
      <c r="T161" t="s">
        <v>885</v>
      </c>
      <c r="U161">
        <v>779</v>
      </c>
      <c r="V161">
        <v>10744</v>
      </c>
      <c r="W161">
        <v>0</v>
      </c>
      <c r="X161">
        <v>4141</v>
      </c>
      <c r="Y161">
        <v>15664</v>
      </c>
      <c r="Z161">
        <v>0</v>
      </c>
      <c r="AA161" t="s">
        <v>204</v>
      </c>
      <c r="AB161">
        <v>15664</v>
      </c>
      <c r="AC161">
        <v>9711.68</v>
      </c>
      <c r="AD161">
        <v>6880</v>
      </c>
      <c r="AE161">
        <v>6580</v>
      </c>
      <c r="AF161">
        <v>300</v>
      </c>
      <c r="AG161">
        <v>0</v>
      </c>
      <c r="AH161" t="s">
        <v>312</v>
      </c>
      <c r="AI161">
        <v>0</v>
      </c>
      <c r="AJ161">
        <v>0</v>
      </c>
      <c r="AK161">
        <v>0</v>
      </c>
      <c r="AR161">
        <v>779</v>
      </c>
      <c r="AS161">
        <v>5264</v>
      </c>
      <c r="AU161">
        <v>46216</v>
      </c>
      <c r="AV161">
        <v>46218</v>
      </c>
      <c r="AW161" t="s">
        <v>204</v>
      </c>
      <c r="AX161">
        <v>-779</v>
      </c>
      <c r="AY161">
        <v>1616</v>
      </c>
      <c r="AZ161" t="s">
        <v>313</v>
      </c>
      <c r="BD161">
        <v>2</v>
      </c>
      <c r="BE161">
        <v>4</v>
      </c>
      <c r="BF161" t="s">
        <v>314</v>
      </c>
      <c r="BG161" t="s">
        <v>153</v>
      </c>
      <c r="BH161">
        <v>12440.8</v>
      </c>
      <c r="BI161">
        <v>46220</v>
      </c>
      <c r="BJ161">
        <v>6</v>
      </c>
      <c r="BK161">
        <v>3223.2</v>
      </c>
      <c r="BL161">
        <v>46234</v>
      </c>
      <c r="BM161">
        <v>20</v>
      </c>
      <c r="BN161">
        <v>15664</v>
      </c>
      <c r="BO161">
        <v>0</v>
      </c>
      <c r="BP161" t="str">
        <f t="shared" si="2"/>
        <v>HAEMBB</v>
      </c>
    </row>
    <row r="162" spans="1:68" x14ac:dyDescent="0.25">
      <c r="A162" t="s">
        <v>972</v>
      </c>
      <c r="B162" t="s">
        <v>973</v>
      </c>
      <c r="C162" t="s">
        <v>974</v>
      </c>
      <c r="D162">
        <v>16723.900000000001</v>
      </c>
      <c r="E162">
        <v>20395</v>
      </c>
      <c r="F162">
        <v>2605</v>
      </c>
      <c r="G162" t="s">
        <v>159</v>
      </c>
      <c r="H162" t="s">
        <v>793</v>
      </c>
      <c r="I162" t="s">
        <v>975</v>
      </c>
      <c r="J162" t="s">
        <v>306</v>
      </c>
      <c r="K162" t="s">
        <v>307</v>
      </c>
      <c r="L162">
        <v>46225</v>
      </c>
      <c r="M162">
        <v>46225</v>
      </c>
      <c r="N162">
        <v>46225</v>
      </c>
      <c r="O162" t="s">
        <v>326</v>
      </c>
      <c r="P162" t="s">
        <v>327</v>
      </c>
      <c r="Q162" t="s">
        <v>328</v>
      </c>
      <c r="R162" t="s">
        <v>310</v>
      </c>
      <c r="S162" t="s">
        <v>209</v>
      </c>
      <c r="T162" t="s">
        <v>976</v>
      </c>
      <c r="U162">
        <v>779</v>
      </c>
      <c r="V162">
        <v>15475</v>
      </c>
      <c r="W162">
        <v>0</v>
      </c>
      <c r="X162">
        <v>4141</v>
      </c>
      <c r="Y162">
        <v>20395</v>
      </c>
      <c r="Z162">
        <v>4232</v>
      </c>
      <c r="AA162">
        <v>46237</v>
      </c>
      <c r="AB162">
        <v>24627</v>
      </c>
      <c r="AC162">
        <v>12644.9</v>
      </c>
      <c r="AD162">
        <v>9460</v>
      </c>
      <c r="AE162">
        <v>9160</v>
      </c>
      <c r="AF162">
        <v>300</v>
      </c>
      <c r="AG162">
        <v>0</v>
      </c>
      <c r="AH162" t="s">
        <v>312</v>
      </c>
      <c r="AI162" t="s">
        <v>312</v>
      </c>
      <c r="AJ162">
        <v>0</v>
      </c>
      <c r="AK162">
        <v>0</v>
      </c>
      <c r="AR162">
        <v>0</v>
      </c>
      <c r="AS162">
        <v>0</v>
      </c>
      <c r="AU162">
        <v>46226</v>
      </c>
      <c r="AV162">
        <v>46231</v>
      </c>
      <c r="AW162" t="s">
        <v>204</v>
      </c>
      <c r="AX162">
        <v>0</v>
      </c>
      <c r="AY162">
        <v>9460</v>
      </c>
      <c r="AZ162" t="s">
        <v>313</v>
      </c>
      <c r="BD162">
        <v>1</v>
      </c>
      <c r="BE162">
        <v>6</v>
      </c>
      <c r="BF162" t="s">
        <v>314</v>
      </c>
      <c r="BG162" t="s">
        <v>153</v>
      </c>
      <c r="BH162">
        <v>19984.5</v>
      </c>
      <c r="BI162">
        <v>46234</v>
      </c>
      <c r="BJ162">
        <v>9</v>
      </c>
      <c r="BK162">
        <v>4642.4999999999991</v>
      </c>
      <c r="BL162">
        <v>46269</v>
      </c>
      <c r="BM162">
        <v>44</v>
      </c>
      <c r="BN162">
        <v>24627</v>
      </c>
      <c r="BO162">
        <v>0</v>
      </c>
      <c r="BP162" t="str">
        <f t="shared" si="2"/>
        <v>HAEMBB</v>
      </c>
    </row>
    <row r="163" spans="1:68" x14ac:dyDescent="0.25">
      <c r="A163" t="s">
        <v>977</v>
      </c>
      <c r="B163" t="s">
        <v>978</v>
      </c>
      <c r="C163" t="s">
        <v>979</v>
      </c>
      <c r="D163">
        <v>15995.740000000002</v>
      </c>
      <c r="E163">
        <v>19507</v>
      </c>
      <c r="F163">
        <v>2605</v>
      </c>
      <c r="G163" t="s">
        <v>159</v>
      </c>
      <c r="H163" t="s">
        <v>793</v>
      </c>
      <c r="I163" t="s">
        <v>980</v>
      </c>
      <c r="J163" t="s">
        <v>306</v>
      </c>
      <c r="K163" t="s">
        <v>307</v>
      </c>
      <c r="L163">
        <v>46205</v>
      </c>
      <c r="M163">
        <v>46206</v>
      </c>
      <c r="N163">
        <v>46206</v>
      </c>
      <c r="O163" t="s">
        <v>318</v>
      </c>
      <c r="P163" t="s">
        <v>204</v>
      </c>
      <c r="Q163" t="s">
        <v>309</v>
      </c>
      <c r="R163" t="s">
        <v>310</v>
      </c>
      <c r="S163" t="s">
        <v>211</v>
      </c>
      <c r="T163" t="s">
        <v>880</v>
      </c>
      <c r="U163">
        <v>779</v>
      </c>
      <c r="V163">
        <v>14587</v>
      </c>
      <c r="W163">
        <v>0</v>
      </c>
      <c r="X163">
        <v>4141</v>
      </c>
      <c r="Y163">
        <v>19507</v>
      </c>
      <c r="Z163">
        <v>0</v>
      </c>
      <c r="AA163" t="s">
        <v>204</v>
      </c>
      <c r="AB163">
        <v>19507</v>
      </c>
      <c r="AC163">
        <v>12094.34</v>
      </c>
      <c r="AD163">
        <v>0</v>
      </c>
      <c r="AE163">
        <v>0</v>
      </c>
      <c r="AF163">
        <v>0</v>
      </c>
      <c r="AG163">
        <v>0</v>
      </c>
      <c r="AH163" t="s">
        <v>312</v>
      </c>
      <c r="AI163" t="s">
        <v>312</v>
      </c>
      <c r="AJ163" t="s">
        <v>312</v>
      </c>
      <c r="AK163">
        <v>0</v>
      </c>
      <c r="AL163">
        <v>19507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15130.9</v>
      </c>
      <c r="AS163">
        <v>0</v>
      </c>
      <c r="AT163">
        <v>0</v>
      </c>
      <c r="AU163">
        <v>46211</v>
      </c>
      <c r="AV163">
        <v>46214</v>
      </c>
      <c r="AW163" t="s">
        <v>204</v>
      </c>
      <c r="AX163">
        <v>4376.1000000000004</v>
      </c>
      <c r="AY163">
        <v>0</v>
      </c>
      <c r="AZ163" t="s">
        <v>313</v>
      </c>
      <c r="BD163">
        <v>5</v>
      </c>
      <c r="BE163">
        <v>8</v>
      </c>
      <c r="BF163" t="s">
        <v>314</v>
      </c>
      <c r="BG163" t="s">
        <v>153</v>
      </c>
      <c r="BH163">
        <v>15130.9</v>
      </c>
      <c r="BI163">
        <v>46220</v>
      </c>
      <c r="BJ163">
        <v>14</v>
      </c>
      <c r="BK163">
        <v>4376.1000000000004</v>
      </c>
      <c r="BL163">
        <v>46234</v>
      </c>
      <c r="BM163">
        <v>28</v>
      </c>
      <c r="BN163">
        <v>19507</v>
      </c>
      <c r="BO163">
        <v>0</v>
      </c>
      <c r="BP163" t="str">
        <f t="shared" si="2"/>
        <v>HAEMBB</v>
      </c>
    </row>
    <row r="164" spans="1:68" x14ac:dyDescent="0.25">
      <c r="A164" t="s">
        <v>981</v>
      </c>
      <c r="B164" t="s">
        <v>982</v>
      </c>
      <c r="C164" t="s">
        <v>983</v>
      </c>
      <c r="D164">
        <v>16723.900000000001</v>
      </c>
      <c r="E164">
        <v>20395</v>
      </c>
      <c r="F164">
        <v>2605</v>
      </c>
      <c r="G164" t="s">
        <v>159</v>
      </c>
      <c r="H164" t="s">
        <v>793</v>
      </c>
      <c r="I164" t="s">
        <v>984</v>
      </c>
      <c r="J164" t="s">
        <v>306</v>
      </c>
      <c r="K164" t="s">
        <v>307</v>
      </c>
      <c r="L164">
        <v>46226</v>
      </c>
      <c r="M164">
        <v>46226</v>
      </c>
      <c r="N164">
        <v>46226</v>
      </c>
      <c r="O164" t="s">
        <v>938</v>
      </c>
      <c r="P164" t="s">
        <v>939</v>
      </c>
      <c r="Q164" t="s">
        <v>328</v>
      </c>
      <c r="R164" t="s">
        <v>310</v>
      </c>
      <c r="S164" t="s">
        <v>209</v>
      </c>
      <c r="T164" t="s">
        <v>976</v>
      </c>
      <c r="U164">
        <v>779</v>
      </c>
      <c r="V164">
        <v>15475</v>
      </c>
      <c r="W164">
        <v>0</v>
      </c>
      <c r="X164">
        <v>4141</v>
      </c>
      <c r="Y164">
        <v>20395</v>
      </c>
      <c r="Z164">
        <v>0</v>
      </c>
      <c r="AA164" t="s">
        <v>204</v>
      </c>
      <c r="AB164">
        <v>20395</v>
      </c>
      <c r="AC164">
        <v>12644.9</v>
      </c>
      <c r="AD164">
        <v>8960</v>
      </c>
      <c r="AE164">
        <v>8660</v>
      </c>
      <c r="AF164">
        <v>300</v>
      </c>
      <c r="AG164">
        <v>0</v>
      </c>
      <c r="AH164" t="s">
        <v>312</v>
      </c>
      <c r="AI164" t="s">
        <v>312</v>
      </c>
      <c r="AJ164">
        <v>0</v>
      </c>
      <c r="AK164">
        <v>0</v>
      </c>
      <c r="AR164">
        <v>0</v>
      </c>
      <c r="AS164">
        <v>0</v>
      </c>
      <c r="AU164">
        <v>46233</v>
      </c>
      <c r="AV164">
        <v>46246</v>
      </c>
      <c r="AW164" t="s">
        <v>204</v>
      </c>
      <c r="AX164">
        <v>0</v>
      </c>
      <c r="AY164">
        <v>8960</v>
      </c>
      <c r="AZ164" t="s">
        <v>313</v>
      </c>
      <c r="BD164">
        <v>7</v>
      </c>
      <c r="BE164">
        <v>20</v>
      </c>
      <c r="BF164" t="s">
        <v>314</v>
      </c>
      <c r="BG164" t="s">
        <v>153</v>
      </c>
      <c r="BH164">
        <v>15752.5</v>
      </c>
      <c r="BI164">
        <v>46234</v>
      </c>
      <c r="BJ164">
        <v>8</v>
      </c>
      <c r="BK164">
        <v>4642.4999999999991</v>
      </c>
      <c r="BL164">
        <v>46262</v>
      </c>
      <c r="BM164">
        <v>36</v>
      </c>
      <c r="BN164">
        <v>20395</v>
      </c>
      <c r="BO164">
        <v>0</v>
      </c>
      <c r="BP164" t="str">
        <f t="shared" si="2"/>
        <v>HAEMBB</v>
      </c>
    </row>
    <row r="165" spans="1:68" x14ac:dyDescent="0.25">
      <c r="A165" t="s">
        <v>985</v>
      </c>
      <c r="B165" t="s">
        <v>986</v>
      </c>
      <c r="C165" t="s">
        <v>987</v>
      </c>
      <c r="D165">
        <v>17042.059999999998</v>
      </c>
      <c r="E165">
        <v>20783</v>
      </c>
      <c r="F165">
        <v>2605</v>
      </c>
      <c r="G165" t="s">
        <v>159</v>
      </c>
      <c r="H165" t="s">
        <v>793</v>
      </c>
      <c r="I165" t="s">
        <v>988</v>
      </c>
      <c r="J165" t="s">
        <v>306</v>
      </c>
      <c r="K165" t="s">
        <v>307</v>
      </c>
      <c r="L165">
        <v>46183</v>
      </c>
      <c r="M165">
        <v>46184</v>
      </c>
      <c r="N165">
        <v>46184</v>
      </c>
      <c r="O165" t="s">
        <v>318</v>
      </c>
      <c r="P165" t="s">
        <v>204</v>
      </c>
      <c r="Q165" t="s">
        <v>309</v>
      </c>
      <c r="R165" t="s">
        <v>903</v>
      </c>
      <c r="S165" t="s">
        <v>211</v>
      </c>
      <c r="T165" t="s">
        <v>865</v>
      </c>
      <c r="U165">
        <v>779</v>
      </c>
      <c r="V165">
        <v>15863</v>
      </c>
      <c r="W165">
        <v>0</v>
      </c>
      <c r="X165">
        <v>4141</v>
      </c>
      <c r="Y165">
        <v>20783</v>
      </c>
      <c r="Z165">
        <v>2095</v>
      </c>
      <c r="AA165">
        <v>46207</v>
      </c>
      <c r="AB165">
        <v>22878</v>
      </c>
      <c r="AC165">
        <v>12885.46</v>
      </c>
      <c r="AD165">
        <v>0</v>
      </c>
      <c r="AE165">
        <v>0</v>
      </c>
      <c r="AF165">
        <v>0</v>
      </c>
      <c r="AG165">
        <v>0</v>
      </c>
      <c r="AH165" t="s">
        <v>312</v>
      </c>
      <c r="AI165" t="s">
        <v>312</v>
      </c>
      <c r="AJ165" t="s">
        <v>312</v>
      </c>
      <c r="AK165">
        <v>0</v>
      </c>
      <c r="AL165">
        <v>22878</v>
      </c>
      <c r="AM165">
        <v>16024.1</v>
      </c>
      <c r="AN165">
        <v>4758.8999999999996</v>
      </c>
      <c r="AO165">
        <v>20783</v>
      </c>
      <c r="AP165">
        <v>0</v>
      </c>
      <c r="AQ165">
        <v>0</v>
      </c>
      <c r="AR165">
        <v>20783</v>
      </c>
      <c r="AS165">
        <v>23625</v>
      </c>
      <c r="AT165">
        <v>2960</v>
      </c>
      <c r="AU165">
        <v>46185</v>
      </c>
      <c r="AV165">
        <v>46189</v>
      </c>
      <c r="AW165" t="s">
        <v>204</v>
      </c>
      <c r="AX165">
        <v>2095</v>
      </c>
      <c r="AY165">
        <v>-23625</v>
      </c>
      <c r="AZ165" t="s">
        <v>313</v>
      </c>
      <c r="BD165">
        <v>1</v>
      </c>
      <c r="BE165">
        <v>5</v>
      </c>
      <c r="BF165" t="s">
        <v>314</v>
      </c>
      <c r="BG165" t="s">
        <v>153</v>
      </c>
      <c r="BH165">
        <v>17490.599999999999</v>
      </c>
      <c r="BI165">
        <v>46199</v>
      </c>
      <c r="BJ165">
        <v>15</v>
      </c>
      <c r="BK165">
        <v>4758.8999999999996</v>
      </c>
      <c r="BL165">
        <v>46206</v>
      </c>
      <c r="BM165">
        <v>22</v>
      </c>
      <c r="BN165">
        <v>22249.5</v>
      </c>
      <c r="BO165">
        <v>0</v>
      </c>
      <c r="BP165" t="str">
        <f t="shared" si="2"/>
        <v>HAEMBB</v>
      </c>
    </row>
    <row r="166" spans="1:68" x14ac:dyDescent="0.25">
      <c r="A166" t="s">
        <v>989</v>
      </c>
      <c r="B166" t="s">
        <v>990</v>
      </c>
      <c r="C166" t="s">
        <v>991</v>
      </c>
      <c r="D166">
        <v>11868.68</v>
      </c>
      <c r="E166">
        <v>14474</v>
      </c>
      <c r="F166">
        <v>2605</v>
      </c>
      <c r="G166" t="s">
        <v>159</v>
      </c>
      <c r="H166" t="s">
        <v>793</v>
      </c>
      <c r="I166" t="s">
        <v>992</v>
      </c>
      <c r="J166" t="s">
        <v>306</v>
      </c>
      <c r="K166" t="s">
        <v>307</v>
      </c>
      <c r="L166">
        <v>46213</v>
      </c>
      <c r="M166">
        <v>46214</v>
      </c>
      <c r="N166">
        <v>46214</v>
      </c>
      <c r="O166" t="s">
        <v>318</v>
      </c>
      <c r="P166" t="s">
        <v>204</v>
      </c>
      <c r="Q166" t="s">
        <v>309</v>
      </c>
      <c r="R166" t="s">
        <v>310</v>
      </c>
      <c r="S166" t="s">
        <v>211</v>
      </c>
      <c r="T166" t="s">
        <v>885</v>
      </c>
      <c r="U166">
        <v>779</v>
      </c>
      <c r="V166">
        <v>12142</v>
      </c>
      <c r="W166">
        <v>0</v>
      </c>
      <c r="X166">
        <v>1553</v>
      </c>
      <c r="Y166">
        <v>14474</v>
      </c>
      <c r="Z166">
        <v>0</v>
      </c>
      <c r="AA166" t="s">
        <v>204</v>
      </c>
      <c r="AB166">
        <v>14474</v>
      </c>
      <c r="AC166">
        <v>8973.8799999999992</v>
      </c>
      <c r="AD166">
        <v>0</v>
      </c>
      <c r="AE166">
        <v>0</v>
      </c>
      <c r="AF166">
        <v>0</v>
      </c>
      <c r="AG166">
        <v>0</v>
      </c>
      <c r="AH166" t="s">
        <v>312</v>
      </c>
      <c r="AI166" t="s">
        <v>312</v>
      </c>
      <c r="AJ166" t="s">
        <v>312</v>
      </c>
      <c r="AK166">
        <v>0</v>
      </c>
      <c r="AR166">
        <v>779</v>
      </c>
      <c r="AS166">
        <v>0</v>
      </c>
      <c r="AU166">
        <v>46219</v>
      </c>
      <c r="AV166">
        <v>46220</v>
      </c>
      <c r="AW166" t="s">
        <v>204</v>
      </c>
      <c r="AX166">
        <v>-779</v>
      </c>
      <c r="AY166">
        <v>0</v>
      </c>
      <c r="AZ166" t="s">
        <v>313</v>
      </c>
      <c r="BD166">
        <v>5</v>
      </c>
      <c r="BE166">
        <v>6</v>
      </c>
      <c r="BF166" t="s">
        <v>314</v>
      </c>
      <c r="BG166" t="s">
        <v>153</v>
      </c>
      <c r="BH166">
        <v>10831.4</v>
      </c>
      <c r="BI166">
        <v>46220</v>
      </c>
      <c r="BJ166">
        <v>6</v>
      </c>
      <c r="BK166">
        <v>3642.5999999999995</v>
      </c>
      <c r="BL166">
        <v>46234</v>
      </c>
      <c r="BM166">
        <v>20</v>
      </c>
      <c r="BN166">
        <v>14474</v>
      </c>
      <c r="BO166">
        <v>0</v>
      </c>
      <c r="BP166" t="str">
        <f t="shared" si="2"/>
        <v>HAEMBB</v>
      </c>
    </row>
    <row r="167" spans="1:68" x14ac:dyDescent="0.25">
      <c r="A167" t="s">
        <v>993</v>
      </c>
      <c r="B167" t="s">
        <v>994</v>
      </c>
      <c r="C167" t="s">
        <v>995</v>
      </c>
      <c r="D167">
        <v>18493.46</v>
      </c>
      <c r="E167">
        <v>22553</v>
      </c>
      <c r="F167">
        <v>2605</v>
      </c>
      <c r="G167" t="s">
        <v>159</v>
      </c>
      <c r="H167" t="s">
        <v>793</v>
      </c>
      <c r="I167" t="s">
        <v>996</v>
      </c>
      <c r="J167" t="s">
        <v>306</v>
      </c>
      <c r="K167" t="s">
        <v>307</v>
      </c>
      <c r="L167">
        <v>46183</v>
      </c>
      <c r="M167">
        <v>46184</v>
      </c>
      <c r="N167">
        <v>46184</v>
      </c>
      <c r="O167" t="s">
        <v>487</v>
      </c>
      <c r="P167" t="s">
        <v>204</v>
      </c>
      <c r="Q167" t="s">
        <v>309</v>
      </c>
      <c r="R167" t="s">
        <v>903</v>
      </c>
      <c r="S167" t="s">
        <v>211</v>
      </c>
      <c r="T167" t="s">
        <v>865</v>
      </c>
      <c r="U167">
        <v>779</v>
      </c>
      <c r="V167">
        <v>17633</v>
      </c>
      <c r="W167">
        <v>0</v>
      </c>
      <c r="X167">
        <v>4141</v>
      </c>
      <c r="Y167">
        <v>22553</v>
      </c>
      <c r="Z167">
        <v>0</v>
      </c>
      <c r="AA167" t="s">
        <v>204</v>
      </c>
      <c r="AB167">
        <v>22553</v>
      </c>
      <c r="AC167">
        <v>13982.86</v>
      </c>
      <c r="AD167">
        <v>0</v>
      </c>
      <c r="AE167">
        <v>0</v>
      </c>
      <c r="AF167">
        <v>0</v>
      </c>
      <c r="AG167">
        <v>0</v>
      </c>
      <c r="AH167" t="s">
        <v>312</v>
      </c>
      <c r="AI167" t="s">
        <v>312</v>
      </c>
      <c r="AJ167" t="s">
        <v>312</v>
      </c>
      <c r="AK167">
        <v>0</v>
      </c>
      <c r="AL167">
        <v>22553</v>
      </c>
      <c r="AM167">
        <v>17263.099999999999</v>
      </c>
      <c r="AN167">
        <v>5289.9</v>
      </c>
      <c r="AO167">
        <v>22553</v>
      </c>
      <c r="AP167">
        <v>0</v>
      </c>
      <c r="AQ167">
        <v>0</v>
      </c>
      <c r="AR167">
        <v>22553</v>
      </c>
      <c r="AS167">
        <v>0</v>
      </c>
      <c r="AT167">
        <v>2704</v>
      </c>
      <c r="AU167">
        <v>46186</v>
      </c>
      <c r="AV167">
        <v>46189</v>
      </c>
      <c r="AW167" t="s">
        <v>204</v>
      </c>
      <c r="AX167">
        <v>0</v>
      </c>
      <c r="AY167">
        <v>0</v>
      </c>
      <c r="AZ167" t="s">
        <v>313</v>
      </c>
      <c r="BD167">
        <v>2</v>
      </c>
      <c r="BE167">
        <v>5</v>
      </c>
      <c r="BF167" t="s">
        <v>314</v>
      </c>
      <c r="BG167" t="s">
        <v>153</v>
      </c>
      <c r="BH167">
        <v>17263.099999999999</v>
      </c>
      <c r="BI167">
        <v>46199</v>
      </c>
      <c r="BJ167">
        <v>15</v>
      </c>
      <c r="BK167">
        <v>5289.9</v>
      </c>
      <c r="BL167">
        <v>46206</v>
      </c>
      <c r="BM167">
        <v>22</v>
      </c>
      <c r="BN167">
        <v>22553</v>
      </c>
      <c r="BO167">
        <v>0</v>
      </c>
      <c r="BP167" t="str">
        <f t="shared" si="2"/>
        <v>HAEMBB</v>
      </c>
    </row>
    <row r="168" spans="1:68" x14ac:dyDescent="0.25">
      <c r="A168" t="s">
        <v>997</v>
      </c>
      <c r="B168" t="s">
        <v>998</v>
      </c>
      <c r="C168" t="s">
        <v>999</v>
      </c>
      <c r="D168">
        <v>10525.52</v>
      </c>
      <c r="E168">
        <v>12836</v>
      </c>
      <c r="F168">
        <v>2605</v>
      </c>
      <c r="G168" t="s">
        <v>159</v>
      </c>
      <c r="H168" t="s">
        <v>793</v>
      </c>
      <c r="I168" t="s">
        <v>1000</v>
      </c>
      <c r="J168" t="s">
        <v>306</v>
      </c>
      <c r="K168" t="s">
        <v>307</v>
      </c>
      <c r="L168">
        <v>46208</v>
      </c>
      <c r="M168">
        <v>46208</v>
      </c>
      <c r="N168">
        <v>46208</v>
      </c>
      <c r="O168" t="s">
        <v>938</v>
      </c>
      <c r="P168" t="s">
        <v>939</v>
      </c>
      <c r="Q168" t="s">
        <v>328</v>
      </c>
      <c r="R168" t="s">
        <v>310</v>
      </c>
      <c r="S168" t="s">
        <v>211</v>
      </c>
      <c r="T168" t="s">
        <v>880</v>
      </c>
      <c r="U168">
        <v>779</v>
      </c>
      <c r="V168">
        <v>10504</v>
      </c>
      <c r="W168">
        <v>0</v>
      </c>
      <c r="X168">
        <v>1553</v>
      </c>
      <c r="Y168">
        <v>12836</v>
      </c>
      <c r="Z168">
        <v>0</v>
      </c>
      <c r="AA168" t="s">
        <v>204</v>
      </c>
      <c r="AB168">
        <v>12836</v>
      </c>
      <c r="AC168">
        <v>7958.32</v>
      </c>
      <c r="AD168">
        <v>6330</v>
      </c>
      <c r="AE168">
        <v>6330</v>
      </c>
      <c r="AF168">
        <v>0</v>
      </c>
      <c r="AG168">
        <v>0</v>
      </c>
      <c r="AH168" t="s">
        <v>312</v>
      </c>
      <c r="AI168" t="s">
        <v>312</v>
      </c>
      <c r="AJ168" t="s">
        <v>312</v>
      </c>
      <c r="AK168">
        <v>0</v>
      </c>
      <c r="AR168">
        <v>9684.7999999999993</v>
      </c>
      <c r="AS168">
        <v>0</v>
      </c>
      <c r="AU168">
        <v>46212</v>
      </c>
      <c r="AV168">
        <v>46213</v>
      </c>
      <c r="AW168" t="s">
        <v>204</v>
      </c>
      <c r="AX168">
        <v>-9684.7999999999993</v>
      </c>
      <c r="AY168">
        <v>6330</v>
      </c>
      <c r="AZ168" t="s">
        <v>313</v>
      </c>
      <c r="BD168">
        <v>4</v>
      </c>
      <c r="BE168">
        <v>5</v>
      </c>
      <c r="BF168" t="s">
        <v>314</v>
      </c>
      <c r="BG168" t="s">
        <v>153</v>
      </c>
      <c r="BH168">
        <v>9684.7999999999993</v>
      </c>
      <c r="BI168">
        <v>46220</v>
      </c>
      <c r="BJ168">
        <v>12</v>
      </c>
      <c r="BK168">
        <v>3151.2</v>
      </c>
      <c r="BL168">
        <v>46234</v>
      </c>
      <c r="BM168">
        <v>26</v>
      </c>
      <c r="BN168">
        <v>12836</v>
      </c>
      <c r="BO168">
        <v>0</v>
      </c>
      <c r="BP168" t="str">
        <f t="shared" si="2"/>
        <v>HAEMBB</v>
      </c>
    </row>
    <row r="169" spans="1:68" x14ac:dyDescent="0.25">
      <c r="A169" t="s">
        <v>1001</v>
      </c>
      <c r="B169" t="s">
        <v>1002</v>
      </c>
      <c r="C169" t="s">
        <v>1003</v>
      </c>
      <c r="D169">
        <v>14286.86</v>
      </c>
      <c r="E169">
        <v>17423</v>
      </c>
      <c r="F169">
        <v>2605</v>
      </c>
      <c r="G169" t="s">
        <v>159</v>
      </c>
      <c r="H169" t="s">
        <v>793</v>
      </c>
      <c r="I169" t="s">
        <v>1004</v>
      </c>
      <c r="J169" t="s">
        <v>306</v>
      </c>
      <c r="K169" t="s">
        <v>307</v>
      </c>
      <c r="L169">
        <v>46221</v>
      </c>
      <c r="M169">
        <v>46221</v>
      </c>
      <c r="N169">
        <v>46221</v>
      </c>
      <c r="O169" t="s">
        <v>318</v>
      </c>
      <c r="P169" t="s">
        <v>204</v>
      </c>
      <c r="Q169" t="s">
        <v>309</v>
      </c>
      <c r="R169" t="s">
        <v>310</v>
      </c>
      <c r="S169" t="s">
        <v>211</v>
      </c>
      <c r="T169" t="s">
        <v>890</v>
      </c>
      <c r="U169">
        <v>779</v>
      </c>
      <c r="V169">
        <v>12503</v>
      </c>
      <c r="W169">
        <v>0</v>
      </c>
      <c r="X169">
        <v>4141</v>
      </c>
      <c r="Y169">
        <v>17423</v>
      </c>
      <c r="Z169">
        <v>0</v>
      </c>
      <c r="AA169" t="s">
        <v>204</v>
      </c>
      <c r="AB169">
        <v>17423</v>
      </c>
      <c r="AC169">
        <v>10802.26</v>
      </c>
      <c r="AD169">
        <v>0</v>
      </c>
      <c r="AE169">
        <v>0</v>
      </c>
      <c r="AF169">
        <v>0</v>
      </c>
      <c r="AG169">
        <v>0</v>
      </c>
      <c r="AH169" t="s">
        <v>312</v>
      </c>
      <c r="AI169" t="s">
        <v>312</v>
      </c>
      <c r="AJ169" t="s">
        <v>312</v>
      </c>
      <c r="AK169">
        <v>0</v>
      </c>
      <c r="AR169">
        <v>0</v>
      </c>
      <c r="AS169">
        <v>0</v>
      </c>
      <c r="AU169">
        <v>46223</v>
      </c>
      <c r="AV169">
        <v>46224</v>
      </c>
      <c r="AW169" t="s">
        <v>204</v>
      </c>
      <c r="AX169">
        <v>0</v>
      </c>
      <c r="AY169">
        <v>0</v>
      </c>
      <c r="AZ169" t="s">
        <v>313</v>
      </c>
      <c r="BD169">
        <v>2</v>
      </c>
      <c r="BE169">
        <v>3</v>
      </c>
      <c r="BF169" t="s">
        <v>314</v>
      </c>
      <c r="BG169" t="s">
        <v>153</v>
      </c>
      <c r="BH169">
        <v>13672.099999999999</v>
      </c>
      <c r="BI169">
        <v>46234</v>
      </c>
      <c r="BJ169">
        <v>13</v>
      </c>
      <c r="BK169">
        <v>3750.8999999999996</v>
      </c>
      <c r="BL169">
        <v>46234</v>
      </c>
      <c r="BM169">
        <v>13</v>
      </c>
      <c r="BN169">
        <v>17423</v>
      </c>
      <c r="BO169">
        <v>0</v>
      </c>
      <c r="BP169" t="str">
        <f t="shared" si="2"/>
        <v>HAEMBB</v>
      </c>
    </row>
    <row r="170" spans="1:68" x14ac:dyDescent="0.25">
      <c r="A170" t="s">
        <v>1005</v>
      </c>
      <c r="B170" t="s">
        <v>1006</v>
      </c>
      <c r="C170" t="s">
        <v>1007</v>
      </c>
      <c r="D170">
        <v>19501.239999999998</v>
      </c>
      <c r="E170">
        <v>23782</v>
      </c>
      <c r="F170">
        <v>2605</v>
      </c>
      <c r="G170" t="s">
        <v>159</v>
      </c>
      <c r="H170" t="s">
        <v>793</v>
      </c>
      <c r="I170" t="s">
        <v>1008</v>
      </c>
      <c r="J170" t="s">
        <v>306</v>
      </c>
      <c r="K170" t="s">
        <v>307</v>
      </c>
      <c r="L170">
        <v>46211</v>
      </c>
      <c r="M170">
        <v>46212</v>
      </c>
      <c r="N170">
        <v>46212</v>
      </c>
      <c r="O170" t="s">
        <v>938</v>
      </c>
      <c r="P170" t="s">
        <v>939</v>
      </c>
      <c r="Q170" t="s">
        <v>328</v>
      </c>
      <c r="R170" t="s">
        <v>310</v>
      </c>
      <c r="S170" t="s">
        <v>211</v>
      </c>
      <c r="T170" t="s">
        <v>885</v>
      </c>
      <c r="U170">
        <v>779</v>
      </c>
      <c r="V170">
        <v>18862</v>
      </c>
      <c r="W170">
        <v>0</v>
      </c>
      <c r="X170">
        <v>4141</v>
      </c>
      <c r="Y170">
        <v>23782</v>
      </c>
      <c r="Z170">
        <v>10316</v>
      </c>
      <c r="AA170">
        <v>46216</v>
      </c>
      <c r="AB170">
        <v>34098</v>
      </c>
      <c r="AC170">
        <v>14744.84</v>
      </c>
      <c r="AD170">
        <v>12140</v>
      </c>
      <c r="AE170">
        <v>12140</v>
      </c>
      <c r="AF170">
        <v>0</v>
      </c>
      <c r="AG170">
        <v>0</v>
      </c>
      <c r="AH170" t="s">
        <v>312</v>
      </c>
      <c r="AI170" t="s">
        <v>312</v>
      </c>
      <c r="AJ170" t="s">
        <v>312</v>
      </c>
      <c r="AK170">
        <v>0</v>
      </c>
      <c r="AR170">
        <v>15837.9</v>
      </c>
      <c r="AS170">
        <v>0</v>
      </c>
      <c r="AU170">
        <v>46213</v>
      </c>
      <c r="AV170">
        <v>46219</v>
      </c>
      <c r="AW170" t="s">
        <v>204</v>
      </c>
      <c r="AX170">
        <v>-15837.9</v>
      </c>
      <c r="AY170">
        <v>12140</v>
      </c>
      <c r="AZ170" t="s">
        <v>313</v>
      </c>
      <c r="BD170">
        <v>1</v>
      </c>
      <c r="BE170">
        <v>7</v>
      </c>
      <c r="BF170" t="s">
        <v>314</v>
      </c>
      <c r="BG170" t="s">
        <v>153</v>
      </c>
      <c r="BH170">
        <v>24908.5</v>
      </c>
      <c r="BI170">
        <v>46220</v>
      </c>
      <c r="BJ170">
        <v>8</v>
      </c>
      <c r="BK170">
        <v>6319.5</v>
      </c>
      <c r="BL170">
        <v>46234</v>
      </c>
      <c r="BM170">
        <v>22</v>
      </c>
      <c r="BN170">
        <v>31228</v>
      </c>
      <c r="BO170">
        <v>2870</v>
      </c>
      <c r="BP170" t="str">
        <f t="shared" si="2"/>
        <v>HAEMBB</v>
      </c>
    </row>
    <row r="171" spans="1:68" x14ac:dyDescent="0.25">
      <c r="A171" t="s">
        <v>1009</v>
      </c>
      <c r="B171" t="s">
        <v>1010</v>
      </c>
      <c r="C171" t="s">
        <v>1011</v>
      </c>
      <c r="D171">
        <v>20219.559999999998</v>
      </c>
      <c r="E171">
        <v>24658</v>
      </c>
      <c r="F171">
        <v>2605</v>
      </c>
      <c r="G171" t="s">
        <v>159</v>
      </c>
      <c r="H171" t="s">
        <v>793</v>
      </c>
      <c r="I171" t="s">
        <v>1012</v>
      </c>
      <c r="J171" t="s">
        <v>306</v>
      </c>
      <c r="K171" t="s">
        <v>307</v>
      </c>
      <c r="L171">
        <v>46184</v>
      </c>
      <c r="M171">
        <v>46186</v>
      </c>
      <c r="N171">
        <v>46186</v>
      </c>
      <c r="O171" t="s">
        <v>848</v>
      </c>
      <c r="P171" t="s">
        <v>204</v>
      </c>
      <c r="Q171" t="s">
        <v>309</v>
      </c>
      <c r="R171" t="s">
        <v>903</v>
      </c>
      <c r="S171" t="s">
        <v>211</v>
      </c>
      <c r="T171" t="s">
        <v>865</v>
      </c>
      <c r="U171">
        <v>779</v>
      </c>
      <c r="V171">
        <v>19738</v>
      </c>
      <c r="W171">
        <v>0</v>
      </c>
      <c r="X171">
        <v>4141</v>
      </c>
      <c r="Y171">
        <v>24658</v>
      </c>
      <c r="Z171">
        <v>2277</v>
      </c>
      <c r="AA171">
        <v>46207</v>
      </c>
      <c r="AB171">
        <v>26935</v>
      </c>
      <c r="AC171">
        <v>15287.96</v>
      </c>
      <c r="AD171">
        <v>0</v>
      </c>
      <c r="AE171">
        <v>0</v>
      </c>
      <c r="AF171">
        <v>0</v>
      </c>
      <c r="AG171">
        <v>0</v>
      </c>
      <c r="AH171" t="s">
        <v>312</v>
      </c>
      <c r="AI171" t="s">
        <v>312</v>
      </c>
      <c r="AJ171" t="s">
        <v>312</v>
      </c>
      <c r="AK171">
        <v>0</v>
      </c>
      <c r="AL171">
        <v>24658</v>
      </c>
      <c r="AM171">
        <v>18736.599999999999</v>
      </c>
      <c r="AN171">
        <v>5921.4000000000005</v>
      </c>
      <c r="AO171">
        <v>24658</v>
      </c>
      <c r="AP171">
        <v>0</v>
      </c>
      <c r="AQ171">
        <v>0</v>
      </c>
      <c r="AR171">
        <v>24658.000000000004</v>
      </c>
      <c r="AS171">
        <v>0</v>
      </c>
      <c r="AT171">
        <v>4056</v>
      </c>
      <c r="AU171">
        <v>46190</v>
      </c>
      <c r="AV171">
        <v>46192</v>
      </c>
      <c r="AW171" t="s">
        <v>204</v>
      </c>
      <c r="AX171">
        <v>0</v>
      </c>
      <c r="AY171">
        <v>0</v>
      </c>
      <c r="AZ171" t="s">
        <v>313</v>
      </c>
      <c r="BD171">
        <v>4</v>
      </c>
      <c r="BE171">
        <v>6</v>
      </c>
      <c r="BF171" t="s">
        <v>314</v>
      </c>
      <c r="BG171" t="s">
        <v>153</v>
      </c>
      <c r="BH171">
        <v>20330.5</v>
      </c>
      <c r="BI171">
        <v>46199</v>
      </c>
      <c r="BJ171">
        <v>13</v>
      </c>
      <c r="BK171">
        <v>5921.4000000000005</v>
      </c>
      <c r="BL171">
        <v>46206</v>
      </c>
      <c r="BM171">
        <v>20</v>
      </c>
      <c r="BN171">
        <v>26251.9</v>
      </c>
      <c r="BO171">
        <v>0</v>
      </c>
      <c r="BP171" t="str">
        <f t="shared" si="2"/>
        <v>HAEMBB</v>
      </c>
    </row>
    <row r="172" spans="1:68" x14ac:dyDescent="0.25">
      <c r="A172" t="s">
        <v>1013</v>
      </c>
      <c r="B172" t="s">
        <v>1014</v>
      </c>
      <c r="C172" t="s">
        <v>1015</v>
      </c>
      <c r="D172">
        <v>17485.679999999997</v>
      </c>
      <c r="E172">
        <v>21324</v>
      </c>
      <c r="F172">
        <v>2605</v>
      </c>
      <c r="G172" t="s">
        <v>159</v>
      </c>
      <c r="H172" t="s">
        <v>793</v>
      </c>
      <c r="I172" t="s">
        <v>1016</v>
      </c>
      <c r="J172" t="s">
        <v>306</v>
      </c>
      <c r="K172" t="s">
        <v>307</v>
      </c>
      <c r="L172">
        <v>46176</v>
      </c>
      <c r="M172">
        <v>46179</v>
      </c>
      <c r="N172">
        <v>46179</v>
      </c>
      <c r="O172" t="s">
        <v>318</v>
      </c>
      <c r="P172" t="s">
        <v>204</v>
      </c>
      <c r="Q172" t="s">
        <v>309</v>
      </c>
      <c r="R172" t="s">
        <v>903</v>
      </c>
      <c r="S172" t="s">
        <v>211</v>
      </c>
      <c r="T172" t="s">
        <v>875</v>
      </c>
      <c r="U172">
        <v>779</v>
      </c>
      <c r="V172">
        <v>16404</v>
      </c>
      <c r="W172">
        <v>0</v>
      </c>
      <c r="X172">
        <v>4141</v>
      </c>
      <c r="Y172">
        <v>21324</v>
      </c>
      <c r="Z172">
        <v>2277</v>
      </c>
      <c r="AA172">
        <v>46207</v>
      </c>
      <c r="AB172">
        <v>23601</v>
      </c>
      <c r="AC172">
        <v>13220.88</v>
      </c>
      <c r="AD172">
        <v>0</v>
      </c>
      <c r="AE172">
        <v>0</v>
      </c>
      <c r="AF172">
        <v>0</v>
      </c>
      <c r="AG172">
        <v>0</v>
      </c>
      <c r="AH172" t="s">
        <v>312</v>
      </c>
      <c r="AI172" t="s">
        <v>312</v>
      </c>
      <c r="AJ172" t="s">
        <v>312</v>
      </c>
      <c r="AK172">
        <v>0</v>
      </c>
      <c r="AL172">
        <v>21324</v>
      </c>
      <c r="AM172">
        <v>16402.8</v>
      </c>
      <c r="AN172">
        <v>4921.2</v>
      </c>
      <c r="AO172">
        <v>21324</v>
      </c>
      <c r="AP172">
        <v>0</v>
      </c>
      <c r="AQ172">
        <v>0</v>
      </c>
      <c r="AR172">
        <v>21324.000000000004</v>
      </c>
      <c r="AS172">
        <v>0</v>
      </c>
      <c r="AT172">
        <v>3096.7741935483873</v>
      </c>
      <c r="AU172">
        <v>46181</v>
      </c>
      <c r="AV172">
        <v>46184</v>
      </c>
      <c r="AW172" t="s">
        <v>204</v>
      </c>
      <c r="AX172">
        <v>0</v>
      </c>
      <c r="AY172">
        <v>0</v>
      </c>
      <c r="AZ172" t="s">
        <v>313</v>
      </c>
      <c r="BD172">
        <v>2</v>
      </c>
      <c r="BE172">
        <v>5</v>
      </c>
      <c r="BF172" t="s">
        <v>314</v>
      </c>
      <c r="BG172" t="s">
        <v>153</v>
      </c>
      <c r="BH172">
        <v>17996.7</v>
      </c>
      <c r="BI172">
        <v>46194</v>
      </c>
      <c r="BJ172">
        <v>15</v>
      </c>
      <c r="BK172">
        <v>4921.2</v>
      </c>
      <c r="BL172">
        <v>46206</v>
      </c>
      <c r="BM172">
        <v>27</v>
      </c>
      <c r="BN172">
        <v>22917.9</v>
      </c>
      <c r="BO172">
        <v>683.09999999999854</v>
      </c>
      <c r="BP172" t="str">
        <f t="shared" si="2"/>
        <v>HAEMBB</v>
      </c>
    </row>
    <row r="173" spans="1:68" x14ac:dyDescent="0.25">
      <c r="A173" t="s">
        <v>1017</v>
      </c>
      <c r="B173" t="s">
        <v>1018</v>
      </c>
      <c r="C173" t="s">
        <v>1019</v>
      </c>
      <c r="D173">
        <v>10722.32</v>
      </c>
      <c r="E173">
        <v>13076</v>
      </c>
      <c r="F173">
        <v>2605</v>
      </c>
      <c r="G173" t="s">
        <v>159</v>
      </c>
      <c r="H173" t="s">
        <v>793</v>
      </c>
      <c r="I173" t="s">
        <v>1020</v>
      </c>
      <c r="J173" t="s">
        <v>306</v>
      </c>
      <c r="K173" t="s">
        <v>307</v>
      </c>
      <c r="L173">
        <v>46204</v>
      </c>
      <c r="M173">
        <v>46205</v>
      </c>
      <c r="N173">
        <v>46205</v>
      </c>
      <c r="O173" t="s">
        <v>326</v>
      </c>
      <c r="P173" t="s">
        <v>327</v>
      </c>
      <c r="Q173" t="s">
        <v>328</v>
      </c>
      <c r="R173" t="s">
        <v>310</v>
      </c>
      <c r="S173" t="s">
        <v>211</v>
      </c>
      <c r="T173" t="s">
        <v>880</v>
      </c>
      <c r="U173">
        <v>779</v>
      </c>
      <c r="V173">
        <v>10744</v>
      </c>
      <c r="W173">
        <v>0</v>
      </c>
      <c r="X173">
        <v>1553</v>
      </c>
      <c r="Y173">
        <v>13076</v>
      </c>
      <c r="Z173">
        <v>0</v>
      </c>
      <c r="AA173" t="s">
        <v>204</v>
      </c>
      <c r="AB173">
        <v>13076</v>
      </c>
      <c r="AC173">
        <v>8107.12</v>
      </c>
      <c r="AD173">
        <v>6190</v>
      </c>
      <c r="AE173">
        <v>6190</v>
      </c>
      <c r="AF173">
        <v>0</v>
      </c>
      <c r="AG173">
        <v>0</v>
      </c>
      <c r="AH173" t="s">
        <v>312</v>
      </c>
      <c r="AI173" t="s">
        <v>312</v>
      </c>
      <c r="AJ173" t="s">
        <v>312</v>
      </c>
      <c r="AK173">
        <v>0</v>
      </c>
      <c r="AL173">
        <v>13076</v>
      </c>
      <c r="AM173">
        <v>0</v>
      </c>
      <c r="AN173">
        <v>0</v>
      </c>
      <c r="AO173">
        <v>0</v>
      </c>
      <c r="AP173">
        <v>6197.2</v>
      </c>
      <c r="AQ173">
        <v>6197.2</v>
      </c>
      <c r="AR173">
        <v>9852.7999999999993</v>
      </c>
      <c r="AS173">
        <v>4952</v>
      </c>
      <c r="AT173">
        <v>0</v>
      </c>
      <c r="AU173">
        <v>46205</v>
      </c>
      <c r="AV173">
        <v>46205</v>
      </c>
      <c r="AW173" t="s">
        <v>204</v>
      </c>
      <c r="AX173">
        <v>3223.2000000000007</v>
      </c>
      <c r="AY173">
        <v>1238</v>
      </c>
      <c r="AZ173" t="s">
        <v>313</v>
      </c>
      <c r="BD173">
        <v>0</v>
      </c>
      <c r="BE173">
        <v>0</v>
      </c>
      <c r="BF173" t="s">
        <v>314</v>
      </c>
      <c r="BG173" t="s">
        <v>153</v>
      </c>
      <c r="BH173">
        <v>9852.7999999999993</v>
      </c>
      <c r="BI173">
        <v>46220</v>
      </c>
      <c r="BJ173">
        <v>15</v>
      </c>
      <c r="BK173">
        <v>3223.2</v>
      </c>
      <c r="BL173">
        <v>46234</v>
      </c>
      <c r="BM173">
        <v>29</v>
      </c>
      <c r="BN173">
        <v>13076</v>
      </c>
      <c r="BO173">
        <v>0</v>
      </c>
      <c r="BP173" t="str">
        <f t="shared" si="2"/>
        <v>HAEMBB</v>
      </c>
    </row>
    <row r="174" spans="1:68" x14ac:dyDescent="0.25">
      <c r="A174" t="s">
        <v>1021</v>
      </c>
      <c r="B174" t="s">
        <v>1022</v>
      </c>
      <c r="C174" t="s">
        <v>1023</v>
      </c>
      <c r="D174">
        <v>14404.119999999999</v>
      </c>
      <c r="E174">
        <v>17566</v>
      </c>
      <c r="F174">
        <v>2605</v>
      </c>
      <c r="G174" t="s">
        <v>159</v>
      </c>
      <c r="H174" t="s">
        <v>793</v>
      </c>
      <c r="I174" t="s">
        <v>1024</v>
      </c>
      <c r="J174" t="s">
        <v>306</v>
      </c>
      <c r="K174" t="s">
        <v>307</v>
      </c>
      <c r="L174">
        <v>46175</v>
      </c>
      <c r="M174">
        <v>46176</v>
      </c>
      <c r="N174">
        <v>46176</v>
      </c>
      <c r="O174" t="s">
        <v>848</v>
      </c>
      <c r="P174" t="s">
        <v>204</v>
      </c>
      <c r="Q174" t="s">
        <v>309</v>
      </c>
      <c r="R174" t="s">
        <v>903</v>
      </c>
      <c r="S174" t="s">
        <v>211</v>
      </c>
      <c r="T174" t="s">
        <v>875</v>
      </c>
      <c r="U174">
        <v>779</v>
      </c>
      <c r="V174">
        <v>12646</v>
      </c>
      <c r="W174">
        <v>0</v>
      </c>
      <c r="X174">
        <v>4141</v>
      </c>
      <c r="Y174">
        <v>17566</v>
      </c>
      <c r="Z174">
        <v>0</v>
      </c>
      <c r="AA174" t="s">
        <v>204</v>
      </c>
      <c r="AB174">
        <v>17566</v>
      </c>
      <c r="AC174">
        <v>10890.92</v>
      </c>
      <c r="AD174">
        <v>0</v>
      </c>
      <c r="AE174">
        <v>0</v>
      </c>
      <c r="AF174">
        <v>0</v>
      </c>
      <c r="AG174">
        <v>0</v>
      </c>
      <c r="AH174" t="s">
        <v>312</v>
      </c>
      <c r="AI174" t="s">
        <v>312</v>
      </c>
      <c r="AJ174" t="s">
        <v>312</v>
      </c>
      <c r="AK174">
        <v>0</v>
      </c>
      <c r="AL174">
        <v>17566</v>
      </c>
      <c r="AM174">
        <v>13772.199999999999</v>
      </c>
      <c r="AN174">
        <v>3793.7999999999997</v>
      </c>
      <c r="AO174">
        <v>17566</v>
      </c>
      <c r="AP174">
        <v>0</v>
      </c>
      <c r="AQ174">
        <v>0</v>
      </c>
      <c r="AR174">
        <v>17566</v>
      </c>
      <c r="AS174">
        <v>0</v>
      </c>
      <c r="AT174">
        <v>2704</v>
      </c>
      <c r="AU174">
        <v>46177</v>
      </c>
      <c r="AV174">
        <v>46181</v>
      </c>
      <c r="AW174" t="s">
        <v>204</v>
      </c>
      <c r="AX174">
        <v>0</v>
      </c>
      <c r="AY174">
        <v>0</v>
      </c>
      <c r="AZ174" t="s">
        <v>313</v>
      </c>
      <c r="BD174">
        <v>1</v>
      </c>
      <c r="BE174">
        <v>5</v>
      </c>
      <c r="BF174" t="s">
        <v>314</v>
      </c>
      <c r="BG174" t="s">
        <v>153</v>
      </c>
      <c r="BH174">
        <v>13772.199999999999</v>
      </c>
      <c r="BI174">
        <v>46194</v>
      </c>
      <c r="BJ174">
        <v>18</v>
      </c>
      <c r="BK174">
        <v>3793.7999999999997</v>
      </c>
      <c r="BL174">
        <v>46206</v>
      </c>
      <c r="BM174">
        <v>30</v>
      </c>
      <c r="BN174">
        <v>17566</v>
      </c>
      <c r="BO174">
        <v>0</v>
      </c>
      <c r="BP174" t="str">
        <f t="shared" si="2"/>
        <v>HAEMBB</v>
      </c>
    </row>
    <row r="175" spans="1:68" x14ac:dyDescent="0.25">
      <c r="A175" t="s">
        <v>1025</v>
      </c>
      <c r="B175" t="s">
        <v>1026</v>
      </c>
      <c r="C175" t="s">
        <v>1027</v>
      </c>
      <c r="D175">
        <v>16696.84</v>
      </c>
      <c r="E175">
        <v>20362</v>
      </c>
      <c r="F175">
        <v>2605</v>
      </c>
      <c r="G175" t="s">
        <v>159</v>
      </c>
      <c r="H175" t="s">
        <v>793</v>
      </c>
      <c r="I175" t="s">
        <v>1028</v>
      </c>
      <c r="J175" t="s">
        <v>306</v>
      </c>
      <c r="K175" t="s">
        <v>307</v>
      </c>
      <c r="L175">
        <v>46209</v>
      </c>
      <c r="M175">
        <v>46209</v>
      </c>
      <c r="N175">
        <v>46209</v>
      </c>
      <c r="O175" t="s">
        <v>938</v>
      </c>
      <c r="P175" t="s">
        <v>939</v>
      </c>
      <c r="Q175" t="s">
        <v>328</v>
      </c>
      <c r="R175" t="s">
        <v>310</v>
      </c>
      <c r="S175" t="s">
        <v>209</v>
      </c>
      <c r="T175" t="s">
        <v>885</v>
      </c>
      <c r="U175">
        <v>779</v>
      </c>
      <c r="V175">
        <v>15442</v>
      </c>
      <c r="W175">
        <v>0</v>
      </c>
      <c r="X175">
        <v>4141</v>
      </c>
      <c r="Y175">
        <v>20362</v>
      </c>
      <c r="Z175">
        <v>4232</v>
      </c>
      <c r="AA175">
        <v>46217</v>
      </c>
      <c r="AB175">
        <v>24594</v>
      </c>
      <c r="AC175">
        <v>12624.44</v>
      </c>
      <c r="AD175">
        <v>9150</v>
      </c>
      <c r="AE175">
        <v>8850</v>
      </c>
      <c r="AF175">
        <v>300</v>
      </c>
      <c r="AG175">
        <v>0</v>
      </c>
      <c r="AH175" t="s">
        <v>312</v>
      </c>
      <c r="AI175">
        <v>0</v>
      </c>
      <c r="AJ175">
        <v>0</v>
      </c>
      <c r="AK175">
        <v>0</v>
      </c>
      <c r="AR175">
        <v>15729.400000000001</v>
      </c>
      <c r="AS175">
        <v>0</v>
      </c>
      <c r="AU175">
        <v>46215</v>
      </c>
      <c r="AV175">
        <v>46216</v>
      </c>
      <c r="AW175" t="s">
        <v>204</v>
      </c>
      <c r="AX175">
        <v>-15729.400000000001</v>
      </c>
      <c r="AY175">
        <v>9150</v>
      </c>
      <c r="AZ175" t="s">
        <v>313</v>
      </c>
      <c r="BD175">
        <v>6</v>
      </c>
      <c r="BE175">
        <v>7</v>
      </c>
      <c r="BF175" t="s">
        <v>314</v>
      </c>
      <c r="BG175" t="s">
        <v>153</v>
      </c>
      <c r="BH175">
        <v>19961.400000000001</v>
      </c>
      <c r="BI175">
        <v>46220</v>
      </c>
      <c r="BJ175">
        <v>11</v>
      </c>
      <c r="BK175">
        <v>4632.6000000000004</v>
      </c>
      <c r="BL175">
        <v>46234</v>
      </c>
      <c r="BM175">
        <v>25</v>
      </c>
      <c r="BN175">
        <v>24594</v>
      </c>
      <c r="BO175">
        <v>0</v>
      </c>
      <c r="BP175" t="str">
        <f t="shared" si="2"/>
        <v>HAEMBB</v>
      </c>
    </row>
    <row r="176" spans="1:68" x14ac:dyDescent="0.25">
      <c r="A176" t="s">
        <v>1029</v>
      </c>
      <c r="B176" t="s">
        <v>1030</v>
      </c>
      <c r="C176" t="s">
        <v>201</v>
      </c>
      <c r="D176">
        <v>21374.12</v>
      </c>
      <c r="E176">
        <v>26066</v>
      </c>
      <c r="F176">
        <v>2605</v>
      </c>
      <c r="G176" t="s">
        <v>159</v>
      </c>
      <c r="H176" t="s">
        <v>793</v>
      </c>
      <c r="I176" t="s">
        <v>1031</v>
      </c>
      <c r="J176" t="s">
        <v>306</v>
      </c>
      <c r="K176" t="s">
        <v>307</v>
      </c>
      <c r="L176">
        <v>46263</v>
      </c>
      <c r="M176">
        <v>46263</v>
      </c>
      <c r="N176">
        <v>46263</v>
      </c>
      <c r="O176" t="s">
        <v>326</v>
      </c>
      <c r="P176" t="s">
        <v>327</v>
      </c>
      <c r="Q176" t="s">
        <v>328</v>
      </c>
      <c r="R176" t="s">
        <v>310</v>
      </c>
      <c r="S176" t="s">
        <v>209</v>
      </c>
      <c r="T176" t="s">
        <v>1032</v>
      </c>
      <c r="U176">
        <v>779</v>
      </c>
      <c r="V176">
        <v>21146</v>
      </c>
      <c r="W176">
        <v>0</v>
      </c>
      <c r="X176">
        <v>4141</v>
      </c>
      <c r="Y176">
        <v>26066</v>
      </c>
      <c r="Z176">
        <v>2277</v>
      </c>
      <c r="AA176" t="s">
        <v>204</v>
      </c>
      <c r="AB176">
        <v>28343</v>
      </c>
      <c r="AC176">
        <v>16160.92</v>
      </c>
      <c r="AU176">
        <v>46265</v>
      </c>
      <c r="AV176">
        <v>46269</v>
      </c>
      <c r="AW176" t="s">
        <v>204</v>
      </c>
      <c r="AX176">
        <v>0</v>
      </c>
      <c r="AY176">
        <v>0</v>
      </c>
      <c r="AZ176" t="s">
        <v>313</v>
      </c>
      <c r="BD176">
        <v>2</v>
      </c>
      <c r="BE176">
        <v>6</v>
      </c>
      <c r="BF176" t="s">
        <v>314</v>
      </c>
      <c r="BG176" t="s">
        <v>153</v>
      </c>
      <c r="BH176">
        <v>779</v>
      </c>
      <c r="BI176">
        <v>46255</v>
      </c>
      <c r="BJ176">
        <v>-8</v>
      </c>
      <c r="BK176">
        <v>0</v>
      </c>
      <c r="BN176">
        <v>779</v>
      </c>
      <c r="BO176">
        <v>27564</v>
      </c>
      <c r="BP176" t="str">
        <f t="shared" si="2"/>
        <v>HAEMBB</v>
      </c>
    </row>
    <row r="177" spans="1:68" x14ac:dyDescent="0.25">
      <c r="A177" t="s">
        <v>1033</v>
      </c>
      <c r="B177" t="s">
        <v>1034</v>
      </c>
      <c r="C177" t="s">
        <v>1035</v>
      </c>
      <c r="D177">
        <v>10722.32</v>
      </c>
      <c r="E177">
        <v>13076</v>
      </c>
      <c r="F177">
        <v>2605</v>
      </c>
      <c r="G177" t="s">
        <v>159</v>
      </c>
      <c r="H177" t="s">
        <v>793</v>
      </c>
      <c r="I177" t="s">
        <v>1036</v>
      </c>
      <c r="J177" t="s">
        <v>306</v>
      </c>
      <c r="K177" t="s">
        <v>307</v>
      </c>
      <c r="L177">
        <v>46219</v>
      </c>
      <c r="M177">
        <v>46219</v>
      </c>
      <c r="N177">
        <v>46219</v>
      </c>
      <c r="O177" t="s">
        <v>326</v>
      </c>
      <c r="P177" t="s">
        <v>327</v>
      </c>
      <c r="Q177" t="s">
        <v>328</v>
      </c>
      <c r="R177" t="s">
        <v>310</v>
      </c>
      <c r="S177" t="s">
        <v>209</v>
      </c>
      <c r="T177" t="s">
        <v>890</v>
      </c>
      <c r="U177">
        <v>779</v>
      </c>
      <c r="V177">
        <v>10744</v>
      </c>
      <c r="W177">
        <v>0</v>
      </c>
      <c r="X177">
        <v>1553</v>
      </c>
      <c r="Y177">
        <v>13076</v>
      </c>
      <c r="Z177">
        <v>2277</v>
      </c>
      <c r="AA177">
        <v>46254</v>
      </c>
      <c r="AB177">
        <v>15353</v>
      </c>
      <c r="AC177">
        <v>8107.12</v>
      </c>
      <c r="AD177">
        <v>7010</v>
      </c>
      <c r="AE177">
        <v>6710</v>
      </c>
      <c r="AF177">
        <v>300</v>
      </c>
      <c r="AG177">
        <v>0</v>
      </c>
      <c r="AH177" t="s">
        <v>312</v>
      </c>
      <c r="AI177" t="s">
        <v>312</v>
      </c>
      <c r="AJ177" t="s">
        <v>312</v>
      </c>
      <c r="AK177">
        <v>0</v>
      </c>
      <c r="AR177">
        <v>779</v>
      </c>
      <c r="AS177">
        <v>0</v>
      </c>
      <c r="AU177">
        <v>46221</v>
      </c>
      <c r="AV177">
        <v>46223</v>
      </c>
      <c r="AW177" t="s">
        <v>204</v>
      </c>
      <c r="AX177">
        <v>-779</v>
      </c>
      <c r="AY177">
        <v>7010</v>
      </c>
      <c r="AZ177" t="s">
        <v>313</v>
      </c>
      <c r="BD177">
        <v>2</v>
      </c>
      <c r="BE177">
        <v>4</v>
      </c>
      <c r="BF177" t="s">
        <v>314</v>
      </c>
      <c r="BG177" t="s">
        <v>153</v>
      </c>
      <c r="BH177">
        <v>9852.7999999999993</v>
      </c>
      <c r="BI177">
        <v>46220</v>
      </c>
      <c r="BJ177">
        <v>1</v>
      </c>
      <c r="BK177">
        <v>3223.2</v>
      </c>
      <c r="BL177">
        <v>46255</v>
      </c>
      <c r="BM177">
        <v>36</v>
      </c>
      <c r="BN177">
        <v>13076</v>
      </c>
      <c r="BO177">
        <v>2277</v>
      </c>
      <c r="BP177" t="str">
        <f t="shared" si="2"/>
        <v>HAEMBB</v>
      </c>
    </row>
    <row r="178" spans="1:68" x14ac:dyDescent="0.25">
      <c r="A178" t="s">
        <v>1037</v>
      </c>
      <c r="B178" t="s">
        <v>1038</v>
      </c>
      <c r="C178" t="s">
        <v>1039</v>
      </c>
      <c r="D178">
        <v>10310.68</v>
      </c>
      <c r="E178">
        <v>12574</v>
      </c>
      <c r="F178">
        <v>2605</v>
      </c>
      <c r="G178" t="s">
        <v>159</v>
      </c>
      <c r="H178" t="s">
        <v>793</v>
      </c>
      <c r="I178" t="s">
        <v>1040</v>
      </c>
      <c r="J178" t="s">
        <v>306</v>
      </c>
      <c r="K178" t="s">
        <v>307</v>
      </c>
      <c r="L178">
        <v>46175</v>
      </c>
      <c r="M178">
        <v>46176</v>
      </c>
      <c r="N178">
        <v>46176</v>
      </c>
      <c r="O178" t="s">
        <v>318</v>
      </c>
      <c r="P178" t="s">
        <v>204</v>
      </c>
      <c r="Q178" t="s">
        <v>309</v>
      </c>
      <c r="R178" t="s">
        <v>903</v>
      </c>
      <c r="S178" t="s">
        <v>211</v>
      </c>
      <c r="T178" t="s">
        <v>875</v>
      </c>
      <c r="U178">
        <v>779</v>
      </c>
      <c r="V178">
        <v>10242</v>
      </c>
      <c r="W178">
        <v>0</v>
      </c>
      <c r="X178">
        <v>1553</v>
      </c>
      <c r="Y178">
        <v>12574</v>
      </c>
      <c r="Z178">
        <v>0</v>
      </c>
      <c r="AA178" t="s">
        <v>204</v>
      </c>
      <c r="AB178">
        <v>12574</v>
      </c>
      <c r="AC178">
        <v>7795.88</v>
      </c>
      <c r="AD178">
        <v>0</v>
      </c>
      <c r="AE178">
        <v>0</v>
      </c>
      <c r="AF178">
        <v>0</v>
      </c>
      <c r="AG178">
        <v>0</v>
      </c>
      <c r="AH178" t="s">
        <v>312</v>
      </c>
      <c r="AI178" t="s">
        <v>312</v>
      </c>
      <c r="AJ178" t="s">
        <v>312</v>
      </c>
      <c r="AK178">
        <v>0</v>
      </c>
      <c r="AL178">
        <v>12574</v>
      </c>
      <c r="AM178">
        <v>9501.4</v>
      </c>
      <c r="AN178">
        <v>3072.6</v>
      </c>
      <c r="AO178">
        <v>12574</v>
      </c>
      <c r="AP178">
        <v>0</v>
      </c>
      <c r="AQ178">
        <v>0</v>
      </c>
      <c r="AR178">
        <v>12573.999999999998</v>
      </c>
      <c r="AS178">
        <v>0</v>
      </c>
      <c r="AT178">
        <v>2960</v>
      </c>
      <c r="AU178">
        <v>46181</v>
      </c>
      <c r="AV178">
        <v>46183</v>
      </c>
      <c r="AW178" t="s">
        <v>204</v>
      </c>
      <c r="AX178">
        <v>0</v>
      </c>
      <c r="AY178">
        <v>0</v>
      </c>
      <c r="AZ178" t="s">
        <v>313</v>
      </c>
      <c r="BD178">
        <v>5</v>
      </c>
      <c r="BE178">
        <v>7</v>
      </c>
      <c r="BF178" t="s">
        <v>314</v>
      </c>
      <c r="BG178" t="s">
        <v>153</v>
      </c>
      <c r="BH178">
        <v>9501.4</v>
      </c>
      <c r="BI178">
        <v>46194</v>
      </c>
      <c r="BJ178">
        <v>18</v>
      </c>
      <c r="BK178">
        <v>3072.6</v>
      </c>
      <c r="BL178">
        <v>46199</v>
      </c>
      <c r="BM178">
        <v>23</v>
      </c>
      <c r="BN178">
        <v>12574</v>
      </c>
      <c r="BO178">
        <v>0</v>
      </c>
      <c r="BP178" t="str">
        <f t="shared" si="2"/>
        <v>HAEMBB</v>
      </c>
    </row>
    <row r="179" spans="1:68" x14ac:dyDescent="0.25">
      <c r="A179" t="s">
        <v>1041</v>
      </c>
      <c r="B179" t="s">
        <v>1042</v>
      </c>
      <c r="C179" t="s">
        <v>1043</v>
      </c>
      <c r="D179">
        <v>17969.48</v>
      </c>
      <c r="E179">
        <v>21914</v>
      </c>
      <c r="F179">
        <v>2605</v>
      </c>
      <c r="G179" t="s">
        <v>159</v>
      </c>
      <c r="H179" t="s">
        <v>793</v>
      </c>
      <c r="I179" t="s">
        <v>1044</v>
      </c>
      <c r="J179" t="s">
        <v>306</v>
      </c>
      <c r="K179" t="s">
        <v>307</v>
      </c>
      <c r="L179">
        <v>46202</v>
      </c>
      <c r="M179">
        <v>46204</v>
      </c>
      <c r="N179">
        <v>46204</v>
      </c>
      <c r="O179" t="s">
        <v>318</v>
      </c>
      <c r="P179" t="s">
        <v>204</v>
      </c>
      <c r="Q179" t="s">
        <v>309</v>
      </c>
      <c r="R179" t="s">
        <v>310</v>
      </c>
      <c r="S179" t="s">
        <v>211</v>
      </c>
      <c r="T179" t="s">
        <v>880</v>
      </c>
      <c r="U179">
        <v>779</v>
      </c>
      <c r="V179">
        <v>16994</v>
      </c>
      <c r="W179">
        <v>0</v>
      </c>
      <c r="X179">
        <v>4141</v>
      </c>
      <c r="Y179">
        <v>21914</v>
      </c>
      <c r="Z179">
        <v>7971</v>
      </c>
      <c r="AA179">
        <v>46207</v>
      </c>
      <c r="AB179">
        <v>29885</v>
      </c>
      <c r="AC179">
        <v>13586.68</v>
      </c>
      <c r="AD179">
        <v>0</v>
      </c>
      <c r="AE179">
        <v>0</v>
      </c>
      <c r="AF179">
        <v>0</v>
      </c>
      <c r="AG179">
        <v>0</v>
      </c>
      <c r="AH179" t="s">
        <v>312</v>
      </c>
      <c r="AI179" t="s">
        <v>312</v>
      </c>
      <c r="AJ179" t="s">
        <v>312</v>
      </c>
      <c r="AK179">
        <v>0</v>
      </c>
      <c r="AL179">
        <v>21914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16815.8</v>
      </c>
      <c r="AS179">
        <v>0</v>
      </c>
      <c r="AT179">
        <v>0</v>
      </c>
      <c r="AU179">
        <v>46205</v>
      </c>
      <c r="AV179">
        <v>46213</v>
      </c>
      <c r="AW179" t="s">
        <v>204</v>
      </c>
      <c r="AX179">
        <v>5098.2000000000007</v>
      </c>
      <c r="AY179">
        <v>0</v>
      </c>
      <c r="AZ179" t="s">
        <v>313</v>
      </c>
      <c r="BD179">
        <v>1</v>
      </c>
      <c r="BE179">
        <v>9</v>
      </c>
      <c r="BF179" t="s">
        <v>314</v>
      </c>
      <c r="BG179" t="s">
        <v>153</v>
      </c>
      <c r="BH179">
        <v>23168.1</v>
      </c>
      <c r="BI179">
        <v>46220</v>
      </c>
      <c r="BJ179">
        <v>16</v>
      </c>
      <c r="BK179">
        <v>5098.2</v>
      </c>
      <c r="BL179">
        <v>46234</v>
      </c>
      <c r="BM179">
        <v>30</v>
      </c>
      <c r="BN179">
        <v>28266.3</v>
      </c>
      <c r="BO179">
        <v>1618.7000000000007</v>
      </c>
      <c r="BP179" t="str">
        <f t="shared" si="2"/>
        <v>HAEMBB</v>
      </c>
    </row>
    <row r="180" spans="1:68" x14ac:dyDescent="0.25">
      <c r="A180" t="s">
        <v>1045</v>
      </c>
      <c r="B180" t="s">
        <v>1046</v>
      </c>
      <c r="C180" t="s">
        <v>1047</v>
      </c>
      <c r="D180">
        <v>10507.48</v>
      </c>
      <c r="E180">
        <v>12814</v>
      </c>
      <c r="F180">
        <v>2605</v>
      </c>
      <c r="G180" t="s">
        <v>159</v>
      </c>
      <c r="H180" t="s">
        <v>793</v>
      </c>
      <c r="I180" t="s">
        <v>1048</v>
      </c>
      <c r="J180" t="s">
        <v>306</v>
      </c>
      <c r="K180" t="s">
        <v>307</v>
      </c>
      <c r="L180">
        <v>46210</v>
      </c>
      <c r="M180">
        <v>46211</v>
      </c>
      <c r="N180">
        <v>46211</v>
      </c>
      <c r="O180" t="s">
        <v>318</v>
      </c>
      <c r="P180" t="s">
        <v>204</v>
      </c>
      <c r="Q180" t="s">
        <v>309</v>
      </c>
      <c r="R180" t="s">
        <v>310</v>
      </c>
      <c r="S180" t="s">
        <v>211</v>
      </c>
      <c r="T180" t="s">
        <v>885</v>
      </c>
      <c r="U180">
        <v>779</v>
      </c>
      <c r="V180">
        <v>10482</v>
      </c>
      <c r="W180">
        <v>0</v>
      </c>
      <c r="X180">
        <v>1553</v>
      </c>
      <c r="Y180">
        <v>12814</v>
      </c>
      <c r="Z180">
        <v>5255</v>
      </c>
      <c r="AA180">
        <v>46218</v>
      </c>
      <c r="AB180">
        <v>18069</v>
      </c>
      <c r="AC180">
        <v>7944.68</v>
      </c>
      <c r="AD180">
        <v>0</v>
      </c>
      <c r="AE180">
        <v>0</v>
      </c>
      <c r="AF180">
        <v>0</v>
      </c>
      <c r="AG180">
        <v>0</v>
      </c>
      <c r="AH180" t="s">
        <v>312</v>
      </c>
      <c r="AI180" t="s">
        <v>312</v>
      </c>
      <c r="AJ180" t="s">
        <v>312</v>
      </c>
      <c r="AK180">
        <v>0</v>
      </c>
      <c r="AR180">
        <v>9669.4</v>
      </c>
      <c r="AS180">
        <v>0</v>
      </c>
      <c r="AU180">
        <v>46212</v>
      </c>
      <c r="AV180">
        <v>46213</v>
      </c>
      <c r="AW180" t="s">
        <v>204</v>
      </c>
      <c r="AX180">
        <v>-9669.4</v>
      </c>
      <c r="AY180">
        <v>0</v>
      </c>
      <c r="AZ180" t="s">
        <v>313</v>
      </c>
      <c r="BD180">
        <v>1</v>
      </c>
      <c r="BE180">
        <v>2</v>
      </c>
      <c r="BF180" t="s">
        <v>314</v>
      </c>
      <c r="BG180" t="s">
        <v>153</v>
      </c>
      <c r="BH180">
        <v>14617.5</v>
      </c>
      <c r="BI180">
        <v>46220</v>
      </c>
      <c r="BJ180">
        <v>9</v>
      </c>
      <c r="BK180">
        <v>3144.6</v>
      </c>
      <c r="BL180">
        <v>46241</v>
      </c>
      <c r="BM180">
        <v>30</v>
      </c>
      <c r="BN180">
        <v>17762.099999999999</v>
      </c>
      <c r="BO180">
        <v>306.90000000000146</v>
      </c>
      <c r="BP180" t="str">
        <f t="shared" si="2"/>
        <v>HAEMBB</v>
      </c>
    </row>
    <row r="181" spans="1:68" x14ac:dyDescent="0.25">
      <c r="A181" t="s">
        <v>1049</v>
      </c>
      <c r="B181" t="s">
        <v>1050</v>
      </c>
      <c r="C181" t="s">
        <v>1051</v>
      </c>
      <c r="D181">
        <v>16820.66</v>
      </c>
      <c r="E181">
        <v>20513</v>
      </c>
      <c r="F181">
        <v>2605</v>
      </c>
      <c r="G181" t="s">
        <v>159</v>
      </c>
      <c r="H181" t="s">
        <v>793</v>
      </c>
      <c r="I181" t="s">
        <v>1052</v>
      </c>
      <c r="J181" t="s">
        <v>306</v>
      </c>
      <c r="K181" t="s">
        <v>307</v>
      </c>
      <c r="L181">
        <v>46185</v>
      </c>
      <c r="M181">
        <v>46186</v>
      </c>
      <c r="N181">
        <v>46186</v>
      </c>
      <c r="O181" t="s">
        <v>326</v>
      </c>
      <c r="P181" t="s">
        <v>327</v>
      </c>
      <c r="Q181" t="s">
        <v>328</v>
      </c>
      <c r="R181" t="s">
        <v>310</v>
      </c>
      <c r="S181" t="s">
        <v>211</v>
      </c>
      <c r="T181" t="s">
        <v>865</v>
      </c>
      <c r="U181">
        <v>779</v>
      </c>
      <c r="V181">
        <v>15593</v>
      </c>
      <c r="W181">
        <v>0</v>
      </c>
      <c r="X181">
        <v>4141</v>
      </c>
      <c r="Y181">
        <v>20513</v>
      </c>
      <c r="Z181">
        <v>0</v>
      </c>
      <c r="AA181" t="s">
        <v>204</v>
      </c>
      <c r="AB181">
        <v>20513</v>
      </c>
      <c r="AC181">
        <v>12718.06</v>
      </c>
      <c r="AD181">
        <v>8300</v>
      </c>
      <c r="AE181">
        <v>8300</v>
      </c>
      <c r="AF181">
        <v>0</v>
      </c>
      <c r="AG181">
        <v>0</v>
      </c>
      <c r="AH181" t="s">
        <v>312</v>
      </c>
      <c r="AI181" t="s">
        <v>312</v>
      </c>
      <c r="AJ181" t="s">
        <v>312</v>
      </c>
      <c r="AK181">
        <v>0</v>
      </c>
      <c r="AL181">
        <v>20513</v>
      </c>
      <c r="AM181">
        <v>15835.1</v>
      </c>
      <c r="AN181">
        <v>1952.7</v>
      </c>
      <c r="AO181">
        <v>17787.8</v>
      </c>
      <c r="AP181">
        <v>8300</v>
      </c>
      <c r="AQ181">
        <v>8300</v>
      </c>
      <c r="AR181">
        <v>20513</v>
      </c>
      <c r="AS181">
        <v>8300</v>
      </c>
      <c r="AT181">
        <v>0</v>
      </c>
      <c r="AU181">
        <v>46191</v>
      </c>
      <c r="AV181">
        <v>46195</v>
      </c>
      <c r="AW181" t="s">
        <v>204</v>
      </c>
      <c r="AX181">
        <v>0</v>
      </c>
      <c r="AY181">
        <v>0</v>
      </c>
      <c r="AZ181" t="s">
        <v>313</v>
      </c>
      <c r="BD181">
        <v>5</v>
      </c>
      <c r="BE181">
        <v>9</v>
      </c>
      <c r="BF181" t="s">
        <v>314</v>
      </c>
      <c r="BG181" t="s">
        <v>153</v>
      </c>
      <c r="BH181">
        <v>15835.1</v>
      </c>
      <c r="BI181">
        <v>46199</v>
      </c>
      <c r="BJ181">
        <v>13</v>
      </c>
      <c r="BK181">
        <v>4677.8999999999996</v>
      </c>
      <c r="BL181">
        <v>46206</v>
      </c>
      <c r="BM181">
        <v>20</v>
      </c>
      <c r="BN181">
        <v>20513</v>
      </c>
      <c r="BO181">
        <v>0</v>
      </c>
      <c r="BP181" t="str">
        <f t="shared" si="2"/>
        <v>HAEMBB</v>
      </c>
    </row>
    <row r="182" spans="1:68" x14ac:dyDescent="0.25">
      <c r="A182" t="s">
        <v>1053</v>
      </c>
      <c r="B182" t="s">
        <v>1054</v>
      </c>
      <c r="C182" t="s">
        <v>1055</v>
      </c>
      <c r="D182">
        <v>14388.539999999999</v>
      </c>
      <c r="E182">
        <v>17547</v>
      </c>
      <c r="F182">
        <v>2605</v>
      </c>
      <c r="G182" t="s">
        <v>159</v>
      </c>
      <c r="H182" t="s">
        <v>793</v>
      </c>
      <c r="I182" t="s">
        <v>1056</v>
      </c>
      <c r="J182" t="s">
        <v>306</v>
      </c>
      <c r="K182" t="s">
        <v>307</v>
      </c>
      <c r="N182">
        <v>0</v>
      </c>
      <c r="T182">
        <v>0</v>
      </c>
      <c r="U182">
        <v>779</v>
      </c>
      <c r="V182">
        <v>12820</v>
      </c>
      <c r="W182">
        <v>0</v>
      </c>
      <c r="X182">
        <v>3948</v>
      </c>
      <c r="Y182">
        <v>17547</v>
      </c>
      <c r="Z182">
        <v>0</v>
      </c>
      <c r="AA182" t="s">
        <v>204</v>
      </c>
      <c r="AB182">
        <v>17547</v>
      </c>
      <c r="AC182">
        <v>10879.14</v>
      </c>
      <c r="AW182" t="s">
        <v>204</v>
      </c>
      <c r="AX182">
        <v>0</v>
      </c>
      <c r="AY182">
        <v>0</v>
      </c>
      <c r="AZ182" t="s">
        <v>313</v>
      </c>
      <c r="BD182">
        <v>0</v>
      </c>
      <c r="BE182">
        <v>0</v>
      </c>
      <c r="BF182" t="s">
        <v>1057</v>
      </c>
      <c r="BG182" t="s">
        <v>153</v>
      </c>
      <c r="BH182">
        <v>779</v>
      </c>
      <c r="BI182">
        <v>46255</v>
      </c>
      <c r="BK182">
        <v>0</v>
      </c>
      <c r="BM182">
        <v>0</v>
      </c>
      <c r="BN182">
        <v>779</v>
      </c>
      <c r="BO182">
        <v>16768</v>
      </c>
      <c r="BP182" t="str">
        <f t="shared" si="2"/>
        <v>HAEMBB</v>
      </c>
    </row>
    <row r="183" spans="1:68" x14ac:dyDescent="0.25">
      <c r="A183" t="s">
        <v>1058</v>
      </c>
      <c r="B183" t="s">
        <v>1059</v>
      </c>
      <c r="C183" t="s">
        <v>1060</v>
      </c>
      <c r="D183">
        <v>24188.36</v>
      </c>
      <c r="E183">
        <v>29498</v>
      </c>
      <c r="F183">
        <v>2606</v>
      </c>
      <c r="G183" t="s">
        <v>159</v>
      </c>
      <c r="H183" t="s">
        <v>368</v>
      </c>
      <c r="I183" t="s">
        <v>1061</v>
      </c>
      <c r="J183" t="s">
        <v>306</v>
      </c>
      <c r="K183" t="s">
        <v>307</v>
      </c>
      <c r="N183">
        <v>0</v>
      </c>
      <c r="T183">
        <v>0</v>
      </c>
      <c r="U183">
        <v>779</v>
      </c>
      <c r="V183">
        <v>12417</v>
      </c>
      <c r="W183">
        <v>0</v>
      </c>
      <c r="X183">
        <v>1553</v>
      </c>
      <c r="Y183">
        <v>14749</v>
      </c>
      <c r="Z183">
        <v>0</v>
      </c>
      <c r="AA183" t="s">
        <v>204</v>
      </c>
      <c r="AB183">
        <v>14749</v>
      </c>
      <c r="AC183">
        <v>18288.759999999998</v>
      </c>
      <c r="AU183">
        <v>46235</v>
      </c>
      <c r="AV183">
        <v>46239</v>
      </c>
      <c r="AW183" t="s">
        <v>204</v>
      </c>
      <c r="AX183">
        <v>0</v>
      </c>
      <c r="AY183">
        <v>0</v>
      </c>
      <c r="AZ183" t="s">
        <v>313</v>
      </c>
      <c r="BF183" t="s">
        <v>1057</v>
      </c>
      <c r="BG183" t="s">
        <v>153</v>
      </c>
      <c r="BH183">
        <v>0</v>
      </c>
      <c r="BJ183">
        <v>0</v>
      </c>
      <c r="BK183">
        <v>0</v>
      </c>
      <c r="BM183">
        <v>0</v>
      </c>
      <c r="BN183">
        <v>0</v>
      </c>
      <c r="BO183">
        <v>14749</v>
      </c>
      <c r="BP183" t="str">
        <f t="shared" si="2"/>
        <v>HAEMBB</v>
      </c>
    </row>
    <row r="184" spans="1:68" x14ac:dyDescent="0.25">
      <c r="A184" t="s">
        <v>1062</v>
      </c>
      <c r="B184" t="s">
        <v>1063</v>
      </c>
      <c r="C184" t="s">
        <v>1064</v>
      </c>
      <c r="D184">
        <v>24188.36</v>
      </c>
      <c r="E184">
        <v>29498</v>
      </c>
      <c r="F184">
        <v>2606</v>
      </c>
      <c r="G184" t="s">
        <v>159</v>
      </c>
      <c r="H184" t="s">
        <v>368</v>
      </c>
      <c r="I184" t="s">
        <v>1065</v>
      </c>
      <c r="J184" t="s">
        <v>306</v>
      </c>
      <c r="K184" t="s">
        <v>307</v>
      </c>
      <c r="L184">
        <v>46224</v>
      </c>
      <c r="M184">
        <v>46224</v>
      </c>
      <c r="N184">
        <v>46224</v>
      </c>
      <c r="O184" t="s">
        <v>318</v>
      </c>
      <c r="P184" t="s">
        <v>204</v>
      </c>
      <c r="Q184" t="s">
        <v>309</v>
      </c>
      <c r="R184" t="s">
        <v>310</v>
      </c>
      <c r="S184" t="s">
        <v>209</v>
      </c>
      <c r="T184" t="s">
        <v>976</v>
      </c>
      <c r="U184">
        <v>779</v>
      </c>
      <c r="V184">
        <v>12417</v>
      </c>
      <c r="W184">
        <v>0</v>
      </c>
      <c r="X184">
        <v>1553</v>
      </c>
      <c r="Y184">
        <v>14749</v>
      </c>
      <c r="Z184">
        <v>0</v>
      </c>
      <c r="AA184" t="s">
        <v>204</v>
      </c>
      <c r="AB184">
        <v>14749</v>
      </c>
      <c r="AC184">
        <v>18288.759999999998</v>
      </c>
      <c r="AD184">
        <v>300</v>
      </c>
      <c r="AE184">
        <v>300</v>
      </c>
      <c r="AF184">
        <v>300</v>
      </c>
      <c r="AG184">
        <v>0</v>
      </c>
      <c r="AH184" t="s">
        <v>312</v>
      </c>
      <c r="AI184">
        <v>0</v>
      </c>
      <c r="AJ184">
        <v>0</v>
      </c>
      <c r="AK184">
        <v>0</v>
      </c>
      <c r="AR184">
        <v>0</v>
      </c>
      <c r="AS184">
        <v>0</v>
      </c>
      <c r="AU184">
        <v>46235</v>
      </c>
      <c r="AV184">
        <v>46242</v>
      </c>
      <c r="AW184" t="s">
        <v>204</v>
      </c>
      <c r="AX184">
        <v>0</v>
      </c>
      <c r="AY184">
        <v>300</v>
      </c>
      <c r="AZ184" t="s">
        <v>313</v>
      </c>
      <c r="BD184">
        <v>11</v>
      </c>
      <c r="BE184">
        <v>18</v>
      </c>
      <c r="BF184" t="s">
        <v>314</v>
      </c>
      <c r="BG184" t="s">
        <v>153</v>
      </c>
      <c r="BH184">
        <v>11023.899999999998</v>
      </c>
      <c r="BI184">
        <v>46234</v>
      </c>
      <c r="BJ184">
        <v>10</v>
      </c>
      <c r="BK184">
        <v>0</v>
      </c>
      <c r="BN184">
        <v>11023.899999999998</v>
      </c>
      <c r="BO184">
        <v>3725.1000000000022</v>
      </c>
      <c r="BP184" t="str">
        <f t="shared" si="2"/>
        <v>HAEMBB</v>
      </c>
    </row>
    <row r="185" spans="1:68" x14ac:dyDescent="0.25">
      <c r="A185" t="s">
        <v>1066</v>
      </c>
      <c r="B185" t="s">
        <v>1067</v>
      </c>
      <c r="C185" t="s">
        <v>1068</v>
      </c>
      <c r="D185">
        <v>24188.36</v>
      </c>
      <c r="E185">
        <v>29498</v>
      </c>
      <c r="F185">
        <v>2606</v>
      </c>
      <c r="G185" t="s">
        <v>159</v>
      </c>
      <c r="H185" t="s">
        <v>368</v>
      </c>
      <c r="I185" t="s">
        <v>1069</v>
      </c>
      <c r="J185" t="s">
        <v>306</v>
      </c>
      <c r="K185" t="s">
        <v>307</v>
      </c>
      <c r="L185">
        <v>46230</v>
      </c>
      <c r="M185">
        <v>46230</v>
      </c>
      <c r="N185">
        <v>46230</v>
      </c>
      <c r="O185" t="s">
        <v>318</v>
      </c>
      <c r="P185" t="s">
        <v>204</v>
      </c>
      <c r="Q185" t="s">
        <v>309</v>
      </c>
      <c r="R185" t="s">
        <v>310</v>
      </c>
      <c r="S185" t="s">
        <v>209</v>
      </c>
      <c r="T185" t="s">
        <v>1070</v>
      </c>
      <c r="U185">
        <v>779</v>
      </c>
      <c r="V185">
        <v>12417</v>
      </c>
      <c r="W185">
        <v>0</v>
      </c>
      <c r="X185">
        <v>1553</v>
      </c>
      <c r="Y185">
        <v>14749</v>
      </c>
      <c r="Z185">
        <v>0</v>
      </c>
      <c r="AA185" t="s">
        <v>204</v>
      </c>
      <c r="AB185">
        <v>14749</v>
      </c>
      <c r="AC185">
        <v>18288.759999999998</v>
      </c>
      <c r="AD185">
        <v>300</v>
      </c>
      <c r="AE185">
        <v>300</v>
      </c>
      <c r="AF185">
        <v>300</v>
      </c>
      <c r="AG185">
        <v>0</v>
      </c>
      <c r="AH185" t="s">
        <v>312</v>
      </c>
      <c r="AI185">
        <v>0</v>
      </c>
      <c r="AJ185">
        <v>0</v>
      </c>
      <c r="AK185">
        <v>0</v>
      </c>
      <c r="AR185">
        <v>0</v>
      </c>
      <c r="AS185">
        <v>0</v>
      </c>
      <c r="AU185">
        <v>46235</v>
      </c>
      <c r="AV185">
        <v>46236</v>
      </c>
      <c r="AW185" t="s">
        <v>204</v>
      </c>
      <c r="AX185">
        <v>0</v>
      </c>
      <c r="AY185">
        <v>300</v>
      </c>
      <c r="AZ185" t="s">
        <v>313</v>
      </c>
      <c r="BD185">
        <v>5</v>
      </c>
      <c r="BE185">
        <v>6</v>
      </c>
      <c r="BF185" t="s">
        <v>314</v>
      </c>
      <c r="BG185" t="s">
        <v>153</v>
      </c>
      <c r="BH185">
        <v>10244.9</v>
      </c>
      <c r="BI185">
        <v>46250</v>
      </c>
      <c r="BJ185">
        <v>20</v>
      </c>
      <c r="BK185">
        <v>0</v>
      </c>
      <c r="BN185">
        <v>10244.9</v>
      </c>
      <c r="BO185">
        <v>4504.1000000000004</v>
      </c>
      <c r="BP185" t="str">
        <f t="shared" si="2"/>
        <v>HAEMBB</v>
      </c>
    </row>
    <row r="186" spans="1:68" x14ac:dyDescent="0.25">
      <c r="A186" t="s">
        <v>1071</v>
      </c>
      <c r="B186" t="s">
        <v>1072</v>
      </c>
      <c r="C186" t="s">
        <v>1073</v>
      </c>
      <c r="D186">
        <v>24188.36</v>
      </c>
      <c r="E186">
        <v>29498</v>
      </c>
      <c r="F186">
        <v>2606</v>
      </c>
      <c r="G186" t="s">
        <v>159</v>
      </c>
      <c r="H186" t="s">
        <v>368</v>
      </c>
      <c r="I186" t="s">
        <v>1074</v>
      </c>
      <c r="J186" t="s">
        <v>306</v>
      </c>
      <c r="K186" t="s">
        <v>307</v>
      </c>
      <c r="L186">
        <v>46223</v>
      </c>
      <c r="M186">
        <v>46224</v>
      </c>
      <c r="N186">
        <v>46224</v>
      </c>
      <c r="O186" t="s">
        <v>318</v>
      </c>
      <c r="P186" t="s">
        <v>204</v>
      </c>
      <c r="Q186" t="s">
        <v>309</v>
      </c>
      <c r="R186" t="s">
        <v>310</v>
      </c>
      <c r="S186" t="s">
        <v>209</v>
      </c>
      <c r="T186" t="s">
        <v>976</v>
      </c>
      <c r="U186">
        <v>779</v>
      </c>
      <c r="V186">
        <v>12417</v>
      </c>
      <c r="W186">
        <v>0</v>
      </c>
      <c r="X186">
        <v>1553</v>
      </c>
      <c r="Y186">
        <v>14749</v>
      </c>
      <c r="Z186">
        <v>0</v>
      </c>
      <c r="AA186" t="s">
        <v>204</v>
      </c>
      <c r="AB186">
        <v>14749</v>
      </c>
      <c r="AC186">
        <v>18288.759999999998</v>
      </c>
      <c r="AD186">
        <v>300</v>
      </c>
      <c r="AE186">
        <v>300</v>
      </c>
      <c r="AF186">
        <v>300</v>
      </c>
      <c r="AG186">
        <v>0</v>
      </c>
      <c r="AH186" t="s">
        <v>312</v>
      </c>
      <c r="AI186">
        <v>0</v>
      </c>
      <c r="AJ186">
        <v>0</v>
      </c>
      <c r="AK186">
        <v>0</v>
      </c>
      <c r="AR186">
        <v>0</v>
      </c>
      <c r="AS186">
        <v>0</v>
      </c>
      <c r="AU186">
        <v>46235</v>
      </c>
      <c r="AV186">
        <v>46233</v>
      </c>
      <c r="AW186" t="s">
        <v>204</v>
      </c>
      <c r="AX186">
        <v>0</v>
      </c>
      <c r="AY186">
        <v>300</v>
      </c>
      <c r="AZ186" t="s">
        <v>313</v>
      </c>
      <c r="BD186">
        <v>11</v>
      </c>
      <c r="BE186">
        <v>9</v>
      </c>
      <c r="BF186" t="s">
        <v>314</v>
      </c>
      <c r="BG186" t="s">
        <v>153</v>
      </c>
      <c r="BH186">
        <v>11023.9</v>
      </c>
      <c r="BI186">
        <v>46234</v>
      </c>
      <c r="BJ186">
        <v>10</v>
      </c>
      <c r="BK186">
        <v>0</v>
      </c>
      <c r="BN186">
        <v>11023.9</v>
      </c>
      <c r="BO186">
        <v>3725.1000000000004</v>
      </c>
      <c r="BP186" t="str">
        <f t="shared" si="2"/>
        <v>HAEMBB</v>
      </c>
    </row>
    <row r="187" spans="1:68" x14ac:dyDescent="0.25">
      <c r="A187" t="s">
        <v>1075</v>
      </c>
      <c r="B187" t="s">
        <v>1076</v>
      </c>
      <c r="C187" t="s">
        <v>1077</v>
      </c>
      <c r="D187">
        <v>24188.36</v>
      </c>
      <c r="E187">
        <v>29498</v>
      </c>
      <c r="F187">
        <v>2606</v>
      </c>
      <c r="G187" t="s">
        <v>159</v>
      </c>
      <c r="H187" t="s">
        <v>368</v>
      </c>
      <c r="I187" t="s">
        <v>1078</v>
      </c>
      <c r="J187" t="s">
        <v>306</v>
      </c>
      <c r="K187" t="s">
        <v>307</v>
      </c>
      <c r="L187">
        <v>46233</v>
      </c>
      <c r="M187">
        <v>46233</v>
      </c>
      <c r="N187">
        <v>46233</v>
      </c>
      <c r="O187" t="s">
        <v>318</v>
      </c>
      <c r="P187" t="s">
        <v>204</v>
      </c>
      <c r="Q187" t="s">
        <v>309</v>
      </c>
      <c r="R187" t="s">
        <v>310</v>
      </c>
      <c r="S187" t="s">
        <v>209</v>
      </c>
      <c r="T187" t="s">
        <v>1070</v>
      </c>
      <c r="U187">
        <v>779</v>
      </c>
      <c r="V187">
        <v>12417</v>
      </c>
      <c r="W187">
        <v>0</v>
      </c>
      <c r="X187">
        <v>1553</v>
      </c>
      <c r="Y187">
        <v>14749</v>
      </c>
      <c r="Z187">
        <v>0</v>
      </c>
      <c r="AA187" t="s">
        <v>204</v>
      </c>
      <c r="AB187">
        <v>14749</v>
      </c>
      <c r="AC187">
        <v>18288.759999999998</v>
      </c>
      <c r="AD187">
        <v>300</v>
      </c>
      <c r="AE187">
        <v>300</v>
      </c>
      <c r="AF187">
        <v>300</v>
      </c>
      <c r="AG187">
        <v>0</v>
      </c>
      <c r="AH187" t="s">
        <v>312</v>
      </c>
      <c r="AI187">
        <v>0</v>
      </c>
      <c r="AJ187">
        <v>0</v>
      </c>
      <c r="AK187">
        <v>0</v>
      </c>
      <c r="AR187">
        <v>0</v>
      </c>
      <c r="AS187">
        <v>0</v>
      </c>
      <c r="AU187">
        <v>46238</v>
      </c>
      <c r="AV187">
        <v>46241</v>
      </c>
      <c r="AW187" t="s">
        <v>204</v>
      </c>
      <c r="AX187">
        <v>0</v>
      </c>
      <c r="AY187">
        <v>300</v>
      </c>
      <c r="AZ187" t="s">
        <v>313</v>
      </c>
      <c r="BD187">
        <v>5</v>
      </c>
      <c r="BE187">
        <v>8</v>
      </c>
      <c r="BF187" t="s">
        <v>314</v>
      </c>
      <c r="BG187" t="s">
        <v>153</v>
      </c>
      <c r="BH187">
        <v>10244.9</v>
      </c>
      <c r="BI187">
        <v>46250</v>
      </c>
      <c r="BJ187">
        <v>17</v>
      </c>
      <c r="BK187">
        <v>0</v>
      </c>
      <c r="BN187">
        <v>10244.9</v>
      </c>
      <c r="BO187">
        <v>4504.1000000000004</v>
      </c>
      <c r="BP187" t="str">
        <f t="shared" si="2"/>
        <v>HAEMBB</v>
      </c>
    </row>
    <row r="188" spans="1:68" x14ac:dyDescent="0.25">
      <c r="A188" t="s">
        <v>1079</v>
      </c>
      <c r="B188" t="s">
        <v>1080</v>
      </c>
      <c r="C188" t="s">
        <v>1081</v>
      </c>
      <c r="D188">
        <v>12943.7</v>
      </c>
      <c r="E188">
        <v>15785</v>
      </c>
      <c r="F188">
        <v>2606</v>
      </c>
      <c r="G188" t="s">
        <v>159</v>
      </c>
      <c r="H188" t="s">
        <v>1082</v>
      </c>
      <c r="I188" t="s">
        <v>1083</v>
      </c>
      <c r="J188" t="s">
        <v>306</v>
      </c>
      <c r="K188" t="s">
        <v>307</v>
      </c>
      <c r="L188">
        <v>46235</v>
      </c>
      <c r="M188">
        <v>46235</v>
      </c>
      <c r="N188">
        <v>46235</v>
      </c>
      <c r="O188" t="s">
        <v>318</v>
      </c>
      <c r="P188" t="s">
        <v>204</v>
      </c>
      <c r="Q188" t="s">
        <v>309</v>
      </c>
      <c r="R188" t="s">
        <v>310</v>
      </c>
      <c r="S188" t="s">
        <v>206</v>
      </c>
      <c r="T188" t="s">
        <v>1070</v>
      </c>
      <c r="U188">
        <v>779</v>
      </c>
      <c r="V188">
        <v>10865</v>
      </c>
      <c r="W188">
        <v>0</v>
      </c>
      <c r="X188">
        <v>4141</v>
      </c>
      <c r="Y188">
        <v>15785</v>
      </c>
      <c r="Z188">
        <v>0</v>
      </c>
      <c r="AA188" t="s">
        <v>204</v>
      </c>
      <c r="AB188">
        <v>15785</v>
      </c>
      <c r="AC188">
        <v>9786.7000000000007</v>
      </c>
      <c r="AD188">
        <v>0</v>
      </c>
      <c r="AE188">
        <v>300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R188">
        <v>0</v>
      </c>
      <c r="AS188">
        <v>0</v>
      </c>
      <c r="AU188">
        <v>46238</v>
      </c>
      <c r="AV188">
        <v>46238</v>
      </c>
      <c r="AW188" t="s">
        <v>204</v>
      </c>
      <c r="AX188">
        <v>0</v>
      </c>
      <c r="AY188">
        <v>0</v>
      </c>
      <c r="AZ188" t="s">
        <v>313</v>
      </c>
      <c r="BD188">
        <v>3</v>
      </c>
      <c r="BE188">
        <v>3</v>
      </c>
      <c r="BF188" t="s">
        <v>314</v>
      </c>
      <c r="BG188" t="s">
        <v>153</v>
      </c>
      <c r="BH188">
        <v>12525.5</v>
      </c>
      <c r="BI188">
        <v>46250</v>
      </c>
      <c r="BJ188">
        <v>15</v>
      </c>
      <c r="BK188">
        <v>3259.5</v>
      </c>
      <c r="BL188">
        <v>46262</v>
      </c>
      <c r="BM188">
        <v>27</v>
      </c>
      <c r="BN188">
        <v>15785</v>
      </c>
      <c r="BO188">
        <v>0</v>
      </c>
      <c r="BP188" t="str">
        <f t="shared" si="2"/>
        <v>HAEMBB</v>
      </c>
    </row>
    <row r="189" spans="1:68" x14ac:dyDescent="0.25">
      <c r="A189" t="s">
        <v>1084</v>
      </c>
      <c r="B189" t="s">
        <v>1085</v>
      </c>
      <c r="C189" t="s">
        <v>1086</v>
      </c>
      <c r="D189">
        <v>24188.36</v>
      </c>
      <c r="E189">
        <v>29498</v>
      </c>
      <c r="F189">
        <v>2606</v>
      </c>
      <c r="G189" t="s">
        <v>159</v>
      </c>
      <c r="H189" t="s">
        <v>368</v>
      </c>
      <c r="I189" t="s">
        <v>1087</v>
      </c>
      <c r="J189" t="s">
        <v>306</v>
      </c>
      <c r="K189" t="s">
        <v>307</v>
      </c>
      <c r="L189">
        <v>46226</v>
      </c>
      <c r="M189">
        <v>46226</v>
      </c>
      <c r="N189">
        <v>46226</v>
      </c>
      <c r="O189" t="s">
        <v>318</v>
      </c>
      <c r="P189" t="s">
        <v>204</v>
      </c>
      <c r="Q189" t="s">
        <v>309</v>
      </c>
      <c r="R189" t="s">
        <v>310</v>
      </c>
      <c r="S189" t="s">
        <v>209</v>
      </c>
      <c r="T189" t="s">
        <v>976</v>
      </c>
      <c r="U189">
        <v>779</v>
      </c>
      <c r="V189">
        <v>12417</v>
      </c>
      <c r="W189">
        <v>0</v>
      </c>
      <c r="X189">
        <v>1553</v>
      </c>
      <c r="Y189">
        <v>14749</v>
      </c>
      <c r="Z189">
        <v>0</v>
      </c>
      <c r="AA189" t="s">
        <v>204</v>
      </c>
      <c r="AB189">
        <v>14749</v>
      </c>
      <c r="AC189">
        <v>18288.759999999998</v>
      </c>
      <c r="AD189">
        <v>300</v>
      </c>
      <c r="AE189">
        <v>300</v>
      </c>
      <c r="AF189">
        <v>300</v>
      </c>
      <c r="AG189">
        <v>0</v>
      </c>
      <c r="AH189" t="s">
        <v>312</v>
      </c>
      <c r="AI189">
        <v>0</v>
      </c>
      <c r="AJ189">
        <v>0</v>
      </c>
      <c r="AK189">
        <v>0</v>
      </c>
      <c r="AR189">
        <v>0</v>
      </c>
      <c r="AS189">
        <v>0</v>
      </c>
      <c r="AU189">
        <v>46235</v>
      </c>
      <c r="AV189">
        <v>46239</v>
      </c>
      <c r="AW189" t="s">
        <v>204</v>
      </c>
      <c r="AX189">
        <v>0</v>
      </c>
      <c r="AY189">
        <v>300</v>
      </c>
      <c r="AZ189" t="s">
        <v>313</v>
      </c>
      <c r="BD189">
        <v>9</v>
      </c>
      <c r="BE189">
        <v>13</v>
      </c>
      <c r="BF189" t="s">
        <v>314</v>
      </c>
      <c r="BG189" t="s">
        <v>153</v>
      </c>
      <c r="BH189">
        <v>10244.899999999998</v>
      </c>
      <c r="BI189">
        <v>46250</v>
      </c>
      <c r="BJ189">
        <v>24</v>
      </c>
      <c r="BK189">
        <v>0</v>
      </c>
      <c r="BN189">
        <v>10244.899999999998</v>
      </c>
      <c r="BO189">
        <v>4504.1000000000022</v>
      </c>
      <c r="BP189" t="str">
        <f t="shared" si="2"/>
        <v>HAEMBB</v>
      </c>
    </row>
    <row r="190" spans="1:68" x14ac:dyDescent="0.25">
      <c r="A190" t="s">
        <v>1088</v>
      </c>
      <c r="B190" t="s">
        <v>1089</v>
      </c>
      <c r="C190" t="s">
        <v>1090</v>
      </c>
      <c r="D190">
        <v>24188.36</v>
      </c>
      <c r="E190">
        <v>29498</v>
      </c>
      <c r="F190">
        <v>2606</v>
      </c>
      <c r="G190" t="s">
        <v>159</v>
      </c>
      <c r="H190" t="s">
        <v>368</v>
      </c>
      <c r="I190" t="s">
        <v>1091</v>
      </c>
      <c r="J190" t="s">
        <v>306</v>
      </c>
      <c r="K190" t="s">
        <v>307</v>
      </c>
      <c r="L190">
        <v>46225</v>
      </c>
      <c r="M190">
        <v>46226</v>
      </c>
      <c r="N190">
        <v>46226</v>
      </c>
      <c r="O190" t="s">
        <v>318</v>
      </c>
      <c r="P190" t="s">
        <v>204</v>
      </c>
      <c r="Q190" t="s">
        <v>309</v>
      </c>
      <c r="R190" t="s">
        <v>310</v>
      </c>
      <c r="S190" t="s">
        <v>209</v>
      </c>
      <c r="T190" t="s">
        <v>976</v>
      </c>
      <c r="U190">
        <v>779</v>
      </c>
      <c r="V190">
        <v>12417</v>
      </c>
      <c r="W190">
        <v>0</v>
      </c>
      <c r="X190">
        <v>1553</v>
      </c>
      <c r="Y190">
        <v>14749</v>
      </c>
      <c r="Z190">
        <v>0</v>
      </c>
      <c r="AA190" t="s">
        <v>204</v>
      </c>
      <c r="AB190">
        <v>14749</v>
      </c>
      <c r="AC190">
        <v>18288.759999999998</v>
      </c>
      <c r="AD190">
        <v>300</v>
      </c>
      <c r="AE190">
        <v>300</v>
      </c>
      <c r="AF190">
        <v>300</v>
      </c>
      <c r="AG190">
        <v>0</v>
      </c>
      <c r="AH190" t="s">
        <v>312</v>
      </c>
      <c r="AI190">
        <v>0</v>
      </c>
      <c r="AJ190">
        <v>0</v>
      </c>
      <c r="AK190">
        <v>0</v>
      </c>
      <c r="AR190">
        <v>0</v>
      </c>
      <c r="AS190">
        <v>0</v>
      </c>
      <c r="AU190">
        <v>46235</v>
      </c>
      <c r="AV190">
        <v>46239</v>
      </c>
      <c r="AW190" t="s">
        <v>204</v>
      </c>
      <c r="AX190">
        <v>0</v>
      </c>
      <c r="AY190">
        <v>300</v>
      </c>
      <c r="AZ190" t="s">
        <v>313</v>
      </c>
      <c r="BD190">
        <v>9</v>
      </c>
      <c r="BE190">
        <v>13</v>
      </c>
      <c r="BF190" t="s">
        <v>314</v>
      </c>
      <c r="BG190" t="s">
        <v>153</v>
      </c>
      <c r="BH190">
        <v>11023.9</v>
      </c>
      <c r="BI190">
        <v>46234</v>
      </c>
      <c r="BJ190">
        <v>8</v>
      </c>
      <c r="BK190">
        <v>0</v>
      </c>
      <c r="BN190">
        <v>11023.9</v>
      </c>
      <c r="BO190">
        <v>3725.1000000000004</v>
      </c>
      <c r="BP190" t="str">
        <f t="shared" si="2"/>
        <v>HAEMBB</v>
      </c>
    </row>
    <row r="191" spans="1:68" x14ac:dyDescent="0.25">
      <c r="A191" t="s">
        <v>1092</v>
      </c>
      <c r="B191" t="s">
        <v>1093</v>
      </c>
      <c r="C191" t="s">
        <v>1094</v>
      </c>
      <c r="D191">
        <v>5731.8</v>
      </c>
      <c r="E191">
        <v>6990</v>
      </c>
      <c r="F191">
        <v>2606</v>
      </c>
      <c r="G191" t="s">
        <v>159</v>
      </c>
      <c r="H191" t="s">
        <v>793</v>
      </c>
      <c r="I191" t="s">
        <v>1095</v>
      </c>
      <c r="J191" t="s">
        <v>306</v>
      </c>
      <c r="K191" t="s">
        <v>307</v>
      </c>
      <c r="L191">
        <v>46179</v>
      </c>
      <c r="M191">
        <v>46181</v>
      </c>
      <c r="N191">
        <v>46181</v>
      </c>
      <c r="O191" t="s">
        <v>326</v>
      </c>
      <c r="P191" t="s">
        <v>327</v>
      </c>
      <c r="Q191" t="s">
        <v>328</v>
      </c>
      <c r="R191" t="s">
        <v>310</v>
      </c>
      <c r="S191" t="s">
        <v>211</v>
      </c>
      <c r="T191" t="s">
        <v>865</v>
      </c>
      <c r="U191">
        <v>779</v>
      </c>
      <c r="V191">
        <v>4658</v>
      </c>
      <c r="W191">
        <v>0</v>
      </c>
      <c r="X191">
        <v>1553</v>
      </c>
      <c r="Y191">
        <v>6990</v>
      </c>
      <c r="Z191">
        <v>0</v>
      </c>
      <c r="AA191" t="s">
        <v>204</v>
      </c>
      <c r="AB191">
        <v>6990</v>
      </c>
      <c r="AC191">
        <v>4333.8</v>
      </c>
      <c r="AD191">
        <v>3270</v>
      </c>
      <c r="AE191">
        <v>3270</v>
      </c>
      <c r="AF191">
        <v>0</v>
      </c>
      <c r="AG191">
        <v>0</v>
      </c>
      <c r="AH191" t="s">
        <v>312</v>
      </c>
      <c r="AI191" t="s">
        <v>312</v>
      </c>
      <c r="AJ191" t="s">
        <v>312</v>
      </c>
      <c r="AK191">
        <v>0</v>
      </c>
      <c r="AL191">
        <v>6990</v>
      </c>
      <c r="AM191">
        <v>3442.8999999999996</v>
      </c>
      <c r="AN191">
        <v>0</v>
      </c>
      <c r="AO191">
        <v>3442.8999999999996</v>
      </c>
      <c r="AP191">
        <v>3270</v>
      </c>
      <c r="AQ191">
        <v>3270</v>
      </c>
      <c r="AR191">
        <v>3442.9</v>
      </c>
      <c r="AS191">
        <v>2616</v>
      </c>
      <c r="AT191">
        <v>0</v>
      </c>
      <c r="AU191">
        <v>46191</v>
      </c>
      <c r="AV191">
        <v>46195</v>
      </c>
      <c r="AW191" t="s">
        <v>204</v>
      </c>
      <c r="AX191">
        <v>3547.1</v>
      </c>
      <c r="AY191">
        <v>654</v>
      </c>
      <c r="AZ191" t="s">
        <v>313</v>
      </c>
      <c r="BD191">
        <v>10</v>
      </c>
      <c r="BE191">
        <v>14</v>
      </c>
      <c r="BF191" t="s">
        <v>314</v>
      </c>
      <c r="BG191" t="s">
        <v>153</v>
      </c>
      <c r="BH191">
        <v>5592.5999999999995</v>
      </c>
      <c r="BI191">
        <v>46206</v>
      </c>
      <c r="BJ191">
        <v>25</v>
      </c>
      <c r="BK191">
        <v>476.1</v>
      </c>
      <c r="BL191">
        <v>46234</v>
      </c>
      <c r="BM191">
        <v>53</v>
      </c>
      <c r="BN191">
        <v>6068.7</v>
      </c>
      <c r="BO191">
        <v>921.30000000000018</v>
      </c>
      <c r="BP191" t="str">
        <f t="shared" si="2"/>
        <v>HAEMBB</v>
      </c>
    </row>
    <row r="192" spans="1:68" x14ac:dyDescent="0.25">
      <c r="A192" t="s">
        <v>1096</v>
      </c>
      <c r="B192" t="s">
        <v>1097</v>
      </c>
      <c r="C192" t="s">
        <v>1098</v>
      </c>
      <c r="D192">
        <v>14677.18</v>
      </c>
      <c r="E192">
        <v>17899</v>
      </c>
      <c r="F192">
        <v>2606</v>
      </c>
      <c r="G192" t="s">
        <v>159</v>
      </c>
      <c r="H192" t="s">
        <v>793</v>
      </c>
      <c r="I192" t="s">
        <v>1099</v>
      </c>
      <c r="J192" t="s">
        <v>306</v>
      </c>
      <c r="K192" t="s">
        <v>307</v>
      </c>
      <c r="L192">
        <v>46173</v>
      </c>
      <c r="M192">
        <v>46175</v>
      </c>
      <c r="N192">
        <v>46175</v>
      </c>
      <c r="O192" t="s">
        <v>326</v>
      </c>
      <c r="P192" t="s">
        <v>327</v>
      </c>
      <c r="Q192" t="s">
        <v>328</v>
      </c>
      <c r="R192" t="s">
        <v>310</v>
      </c>
      <c r="S192" t="s">
        <v>211</v>
      </c>
      <c r="T192" t="s">
        <v>875</v>
      </c>
      <c r="U192">
        <v>779</v>
      </c>
      <c r="V192">
        <v>12979</v>
      </c>
      <c r="W192">
        <v>0</v>
      </c>
      <c r="X192">
        <v>4141</v>
      </c>
      <c r="Y192">
        <v>17899</v>
      </c>
      <c r="Z192">
        <v>0</v>
      </c>
      <c r="AA192" t="s">
        <v>204</v>
      </c>
      <c r="AB192">
        <v>17899</v>
      </c>
      <c r="AC192">
        <v>11097.38</v>
      </c>
      <c r="AD192">
        <v>7815</v>
      </c>
      <c r="AE192">
        <v>7815</v>
      </c>
      <c r="AF192">
        <v>0</v>
      </c>
      <c r="AG192">
        <v>0</v>
      </c>
      <c r="AH192" t="s">
        <v>312</v>
      </c>
      <c r="AI192" t="s">
        <v>312</v>
      </c>
      <c r="AJ192" t="s">
        <v>312</v>
      </c>
      <c r="AK192">
        <v>0</v>
      </c>
      <c r="AL192">
        <v>17899</v>
      </c>
      <c r="AM192">
        <v>13428.5</v>
      </c>
      <c r="AN192">
        <v>3646.5</v>
      </c>
      <c r="AO192">
        <v>17075</v>
      </c>
      <c r="AP192">
        <v>7815</v>
      </c>
      <c r="AQ192">
        <v>7815</v>
      </c>
      <c r="AR192">
        <v>17075</v>
      </c>
      <c r="AS192">
        <v>7815</v>
      </c>
      <c r="AT192">
        <v>0</v>
      </c>
      <c r="AU192">
        <v>46185</v>
      </c>
      <c r="AV192">
        <v>46193</v>
      </c>
      <c r="AW192" t="s">
        <v>204</v>
      </c>
      <c r="AX192">
        <v>824</v>
      </c>
      <c r="AY192">
        <v>0</v>
      </c>
      <c r="AZ192" t="s">
        <v>313</v>
      </c>
      <c r="BD192">
        <v>10</v>
      </c>
      <c r="BE192">
        <v>18</v>
      </c>
      <c r="BF192" t="s">
        <v>314</v>
      </c>
      <c r="BG192" t="s">
        <v>153</v>
      </c>
      <c r="BH192">
        <v>13428.5</v>
      </c>
      <c r="BI192">
        <v>46199</v>
      </c>
      <c r="BJ192">
        <v>24</v>
      </c>
      <c r="BK192">
        <v>3646.5</v>
      </c>
      <c r="BL192">
        <v>46206</v>
      </c>
      <c r="BM192">
        <v>31</v>
      </c>
      <c r="BN192">
        <v>17075</v>
      </c>
      <c r="BO192">
        <v>0</v>
      </c>
      <c r="BP192" t="str">
        <f t="shared" si="2"/>
        <v>HAEMBB</v>
      </c>
    </row>
    <row r="193" spans="1:68" x14ac:dyDescent="0.25">
      <c r="A193" t="s">
        <v>1100</v>
      </c>
      <c r="B193" t="s">
        <v>1101</v>
      </c>
      <c r="C193" t="s">
        <v>1102</v>
      </c>
      <c r="D193">
        <v>12943.7</v>
      </c>
      <c r="E193">
        <v>15785</v>
      </c>
      <c r="F193">
        <v>2606</v>
      </c>
      <c r="G193" t="s">
        <v>159</v>
      </c>
      <c r="H193" t="s">
        <v>1082</v>
      </c>
      <c r="I193" t="s">
        <v>1020</v>
      </c>
      <c r="J193" t="s">
        <v>306</v>
      </c>
      <c r="K193" t="s">
        <v>307</v>
      </c>
      <c r="L193">
        <v>46193</v>
      </c>
      <c r="M193">
        <v>46193</v>
      </c>
      <c r="N193">
        <v>46193</v>
      </c>
      <c r="O193" t="s">
        <v>326</v>
      </c>
      <c r="P193" t="s">
        <v>327</v>
      </c>
      <c r="Q193" t="s">
        <v>328</v>
      </c>
      <c r="R193" t="s">
        <v>310</v>
      </c>
      <c r="S193" t="s">
        <v>209</v>
      </c>
      <c r="T193" t="s">
        <v>822</v>
      </c>
      <c r="U193">
        <v>779</v>
      </c>
      <c r="V193">
        <v>10865</v>
      </c>
      <c r="W193">
        <v>0</v>
      </c>
      <c r="X193">
        <v>4141</v>
      </c>
      <c r="Y193">
        <v>15785</v>
      </c>
      <c r="Z193">
        <v>0</v>
      </c>
      <c r="AA193" t="s">
        <v>204</v>
      </c>
      <c r="AB193">
        <v>15785</v>
      </c>
      <c r="AC193">
        <v>9786.7000000000007</v>
      </c>
      <c r="AD193">
        <v>6410</v>
      </c>
      <c r="AE193">
        <v>6110</v>
      </c>
      <c r="AF193">
        <v>300</v>
      </c>
      <c r="AG193">
        <v>0</v>
      </c>
      <c r="AH193" t="s">
        <v>312</v>
      </c>
      <c r="AI193" t="s">
        <v>312</v>
      </c>
      <c r="AJ193" t="s">
        <v>312</v>
      </c>
      <c r="AK193">
        <v>0</v>
      </c>
      <c r="AL193">
        <v>15785</v>
      </c>
      <c r="AM193">
        <v>12525.5</v>
      </c>
      <c r="AN193">
        <v>0</v>
      </c>
      <c r="AO193">
        <v>12525.5</v>
      </c>
      <c r="AP193">
        <v>6410</v>
      </c>
      <c r="AQ193">
        <v>6410</v>
      </c>
      <c r="AR193">
        <v>15785.000000000002</v>
      </c>
      <c r="AS193">
        <v>6280</v>
      </c>
      <c r="AT193">
        <v>0</v>
      </c>
      <c r="AU193">
        <v>46195</v>
      </c>
      <c r="AV193">
        <v>46198</v>
      </c>
      <c r="AW193" t="s">
        <v>204</v>
      </c>
      <c r="AX193">
        <v>0</v>
      </c>
      <c r="AY193">
        <v>130</v>
      </c>
      <c r="AZ193" t="s">
        <v>313</v>
      </c>
      <c r="BD193">
        <v>2</v>
      </c>
      <c r="BE193">
        <v>5</v>
      </c>
      <c r="BF193" t="s">
        <v>314</v>
      </c>
      <c r="BG193" t="s">
        <v>153</v>
      </c>
      <c r="BH193">
        <v>12525.5</v>
      </c>
      <c r="BI193">
        <v>46206</v>
      </c>
      <c r="BJ193">
        <v>13</v>
      </c>
      <c r="BK193">
        <v>3259.5</v>
      </c>
      <c r="BL193">
        <v>46220</v>
      </c>
      <c r="BM193">
        <v>27</v>
      </c>
      <c r="BN193">
        <v>15785</v>
      </c>
      <c r="BO193">
        <v>0</v>
      </c>
      <c r="BP193" t="str">
        <f t="shared" si="2"/>
        <v>HAEMBB</v>
      </c>
    </row>
    <row r="194" spans="1:68" x14ac:dyDescent="0.25">
      <c r="A194" t="s">
        <v>1103</v>
      </c>
      <c r="B194" t="s">
        <v>1104</v>
      </c>
      <c r="C194" t="s">
        <v>1105</v>
      </c>
      <c r="D194">
        <v>15120.8</v>
      </c>
      <c r="E194">
        <v>18440</v>
      </c>
      <c r="F194">
        <v>2606</v>
      </c>
      <c r="G194" t="s">
        <v>159</v>
      </c>
      <c r="H194" t="s">
        <v>1082</v>
      </c>
      <c r="I194" t="s">
        <v>869</v>
      </c>
      <c r="J194" t="s">
        <v>306</v>
      </c>
      <c r="K194" t="s">
        <v>307</v>
      </c>
      <c r="L194">
        <v>46203</v>
      </c>
      <c r="M194">
        <v>46204</v>
      </c>
      <c r="N194">
        <v>46204</v>
      </c>
      <c r="O194" t="s">
        <v>326</v>
      </c>
      <c r="P194" t="s">
        <v>327</v>
      </c>
      <c r="Q194" t="s">
        <v>328</v>
      </c>
      <c r="R194" t="s">
        <v>310</v>
      </c>
      <c r="S194" t="s">
        <v>211</v>
      </c>
      <c r="T194" t="s">
        <v>880</v>
      </c>
      <c r="U194">
        <v>779</v>
      </c>
      <c r="V194">
        <v>13520</v>
      </c>
      <c r="W194">
        <v>0</v>
      </c>
      <c r="X194">
        <v>4141</v>
      </c>
      <c r="Y194">
        <v>18440</v>
      </c>
      <c r="Z194">
        <v>0</v>
      </c>
      <c r="AA194" t="s">
        <v>204</v>
      </c>
      <c r="AB194">
        <v>18440</v>
      </c>
      <c r="AC194">
        <v>11432.8</v>
      </c>
      <c r="AD194">
        <v>7400</v>
      </c>
      <c r="AE194">
        <v>7400</v>
      </c>
      <c r="AF194">
        <v>0</v>
      </c>
      <c r="AG194">
        <v>0</v>
      </c>
      <c r="AH194" t="s">
        <v>312</v>
      </c>
      <c r="AI194" t="s">
        <v>312</v>
      </c>
      <c r="AJ194" t="s">
        <v>312</v>
      </c>
      <c r="AK194">
        <v>0</v>
      </c>
      <c r="AL194">
        <v>18440</v>
      </c>
      <c r="AM194">
        <v>779</v>
      </c>
      <c r="AN194">
        <v>0</v>
      </c>
      <c r="AO194">
        <v>779</v>
      </c>
      <c r="AP194">
        <v>7400</v>
      </c>
      <c r="AQ194">
        <v>7400</v>
      </c>
      <c r="AR194">
        <v>14384.000000000002</v>
      </c>
      <c r="AS194">
        <v>6850</v>
      </c>
      <c r="AT194">
        <v>0</v>
      </c>
      <c r="AU194">
        <v>46204</v>
      </c>
      <c r="AV194">
        <v>46205</v>
      </c>
      <c r="AX194">
        <v>4055.9999999999982</v>
      </c>
      <c r="AY194">
        <v>550</v>
      </c>
      <c r="AZ194" t="s">
        <v>313</v>
      </c>
      <c r="BD194">
        <v>0</v>
      </c>
      <c r="BE194">
        <v>1</v>
      </c>
      <c r="BF194" t="s">
        <v>314</v>
      </c>
      <c r="BG194" t="s">
        <v>153</v>
      </c>
      <c r="BH194">
        <v>14384</v>
      </c>
      <c r="BI194">
        <v>46206</v>
      </c>
      <c r="BJ194">
        <v>2</v>
      </c>
      <c r="BK194">
        <v>4056</v>
      </c>
      <c r="BL194">
        <v>46234</v>
      </c>
      <c r="BM194">
        <v>30</v>
      </c>
      <c r="BN194">
        <v>18440</v>
      </c>
      <c r="BO194">
        <v>0</v>
      </c>
      <c r="BP194" t="str">
        <f t="shared" si="2"/>
        <v>HAEMBB</v>
      </c>
    </row>
    <row r="195" spans="1:68" x14ac:dyDescent="0.25">
      <c r="A195" t="s">
        <v>1106</v>
      </c>
      <c r="B195" t="s">
        <v>1107</v>
      </c>
      <c r="C195" t="s">
        <v>1108</v>
      </c>
      <c r="D195">
        <v>15423.380000000001</v>
      </c>
      <c r="E195">
        <v>18809</v>
      </c>
      <c r="F195">
        <v>2606</v>
      </c>
      <c r="G195" t="s">
        <v>159</v>
      </c>
      <c r="H195" t="s">
        <v>1082</v>
      </c>
      <c r="I195" t="s">
        <v>1109</v>
      </c>
      <c r="J195" t="s">
        <v>306</v>
      </c>
      <c r="K195" t="s">
        <v>307</v>
      </c>
      <c r="L195">
        <v>46191</v>
      </c>
      <c r="M195">
        <v>46191</v>
      </c>
      <c r="N195">
        <v>46191</v>
      </c>
      <c r="O195" t="s">
        <v>326</v>
      </c>
      <c r="P195" t="s">
        <v>327</v>
      </c>
      <c r="Q195" t="s">
        <v>328</v>
      </c>
      <c r="R195" t="s">
        <v>310</v>
      </c>
      <c r="S195" t="s">
        <v>209</v>
      </c>
      <c r="T195" t="s">
        <v>822</v>
      </c>
      <c r="U195">
        <v>779</v>
      </c>
      <c r="V195">
        <v>13889</v>
      </c>
      <c r="W195">
        <v>0</v>
      </c>
      <c r="X195">
        <v>4141</v>
      </c>
      <c r="Y195">
        <v>18809</v>
      </c>
      <c r="Z195">
        <v>0</v>
      </c>
      <c r="AA195" t="s">
        <v>204</v>
      </c>
      <c r="AB195">
        <v>18809</v>
      </c>
      <c r="AC195">
        <v>11661.58</v>
      </c>
      <c r="AD195">
        <v>7910</v>
      </c>
      <c r="AE195">
        <v>7610</v>
      </c>
      <c r="AF195">
        <v>300</v>
      </c>
      <c r="AG195">
        <v>0</v>
      </c>
      <c r="AH195" t="s">
        <v>312</v>
      </c>
      <c r="AI195" t="s">
        <v>312</v>
      </c>
      <c r="AJ195" t="s">
        <v>312</v>
      </c>
      <c r="AK195">
        <v>0</v>
      </c>
      <c r="AL195">
        <v>18809</v>
      </c>
      <c r="AM195">
        <v>14642.3</v>
      </c>
      <c r="AN195">
        <v>0</v>
      </c>
      <c r="AO195">
        <v>14642.3</v>
      </c>
      <c r="AP195">
        <v>7910</v>
      </c>
      <c r="AQ195">
        <v>7910</v>
      </c>
      <c r="AR195">
        <v>18808.999999999996</v>
      </c>
      <c r="AS195">
        <v>8723</v>
      </c>
      <c r="AT195">
        <v>0</v>
      </c>
      <c r="AU195">
        <v>46191</v>
      </c>
      <c r="AV195">
        <v>46198</v>
      </c>
      <c r="AW195" t="s">
        <v>204</v>
      </c>
      <c r="AX195">
        <v>0</v>
      </c>
      <c r="AY195">
        <v>-813</v>
      </c>
      <c r="AZ195" t="s">
        <v>313</v>
      </c>
      <c r="BD195">
        <v>0</v>
      </c>
      <c r="BE195">
        <v>7</v>
      </c>
      <c r="BF195" t="s">
        <v>314</v>
      </c>
      <c r="BG195" t="s">
        <v>153</v>
      </c>
      <c r="BH195">
        <v>14642.3</v>
      </c>
      <c r="BI195">
        <v>46206</v>
      </c>
      <c r="BJ195">
        <v>15</v>
      </c>
      <c r="BK195">
        <v>4166.7</v>
      </c>
      <c r="BL195">
        <v>46220</v>
      </c>
      <c r="BM195">
        <v>29</v>
      </c>
      <c r="BN195">
        <v>18809</v>
      </c>
      <c r="BO195">
        <v>0</v>
      </c>
      <c r="BP195" t="str">
        <f t="shared" si="2"/>
        <v>HAEMBB</v>
      </c>
    </row>
    <row r="196" spans="1:68" x14ac:dyDescent="0.25">
      <c r="A196" t="s">
        <v>1110</v>
      </c>
      <c r="B196" t="s">
        <v>1111</v>
      </c>
      <c r="C196" t="s">
        <v>1112</v>
      </c>
      <c r="D196">
        <v>17343</v>
      </c>
      <c r="E196">
        <v>21150</v>
      </c>
      <c r="F196">
        <v>2606</v>
      </c>
      <c r="G196" t="s">
        <v>159</v>
      </c>
      <c r="H196" t="s">
        <v>1082</v>
      </c>
      <c r="I196" t="s">
        <v>1113</v>
      </c>
      <c r="J196" t="s">
        <v>306</v>
      </c>
      <c r="K196" t="s">
        <v>307</v>
      </c>
      <c r="N196">
        <v>0</v>
      </c>
      <c r="T196">
        <v>0</v>
      </c>
      <c r="U196">
        <v>779</v>
      </c>
      <c r="V196">
        <v>16230</v>
      </c>
      <c r="W196">
        <v>0</v>
      </c>
      <c r="X196">
        <v>4141</v>
      </c>
      <c r="Y196">
        <v>21150</v>
      </c>
      <c r="Z196">
        <v>0</v>
      </c>
      <c r="AA196" t="s">
        <v>204</v>
      </c>
      <c r="AB196">
        <v>21150</v>
      </c>
      <c r="AC196">
        <v>13113</v>
      </c>
      <c r="AW196" t="s">
        <v>204</v>
      </c>
      <c r="AX196">
        <v>0</v>
      </c>
      <c r="AY196">
        <v>0</v>
      </c>
      <c r="AZ196" t="s">
        <v>313</v>
      </c>
      <c r="BD196">
        <v>0</v>
      </c>
      <c r="BE196">
        <v>0</v>
      </c>
      <c r="BF196" t="s">
        <v>1057</v>
      </c>
      <c r="BG196" t="s">
        <v>153</v>
      </c>
      <c r="BH196">
        <v>0</v>
      </c>
      <c r="BJ196">
        <v>0</v>
      </c>
      <c r="BK196">
        <v>0</v>
      </c>
      <c r="BM196">
        <v>0</v>
      </c>
      <c r="BN196">
        <v>0</v>
      </c>
      <c r="BO196">
        <v>21150</v>
      </c>
      <c r="BP196" t="str">
        <f t="shared" ref="BP196:BP259" si="3">G196&amp;BG196</f>
        <v>HAEMBB</v>
      </c>
    </row>
    <row r="197" spans="1:68" x14ac:dyDescent="0.25">
      <c r="A197" t="s">
        <v>1114</v>
      </c>
      <c r="B197" t="s">
        <v>1115</v>
      </c>
      <c r="C197" t="s">
        <v>1116</v>
      </c>
      <c r="D197">
        <v>14404.119999999999</v>
      </c>
      <c r="E197">
        <v>17566</v>
      </c>
      <c r="F197">
        <v>2606</v>
      </c>
      <c r="G197" t="s">
        <v>159</v>
      </c>
      <c r="H197" t="s">
        <v>1082</v>
      </c>
      <c r="I197" t="s">
        <v>917</v>
      </c>
      <c r="J197" t="s">
        <v>306</v>
      </c>
      <c r="K197" t="s">
        <v>307</v>
      </c>
      <c r="N197">
        <v>0</v>
      </c>
      <c r="T197">
        <v>0</v>
      </c>
      <c r="U197">
        <v>779</v>
      </c>
      <c r="V197">
        <v>12646</v>
      </c>
      <c r="W197">
        <v>0</v>
      </c>
      <c r="X197">
        <v>4141</v>
      </c>
      <c r="Y197">
        <v>17566</v>
      </c>
      <c r="Z197">
        <v>0</v>
      </c>
      <c r="AA197" t="s">
        <v>204</v>
      </c>
      <c r="AB197">
        <v>17566</v>
      </c>
      <c r="AC197">
        <v>10890.92</v>
      </c>
      <c r="AW197" t="s">
        <v>204</v>
      </c>
      <c r="AX197">
        <v>0</v>
      </c>
      <c r="AY197">
        <v>0</v>
      </c>
      <c r="AZ197" t="s">
        <v>313</v>
      </c>
      <c r="BD197">
        <v>0</v>
      </c>
      <c r="BE197">
        <v>0</v>
      </c>
      <c r="BF197" t="s">
        <v>1057</v>
      </c>
      <c r="BG197" t="s">
        <v>153</v>
      </c>
      <c r="BH197">
        <v>0</v>
      </c>
      <c r="BJ197">
        <v>0</v>
      </c>
      <c r="BK197">
        <v>0</v>
      </c>
      <c r="BM197">
        <v>0</v>
      </c>
      <c r="BN197">
        <v>0</v>
      </c>
      <c r="BO197">
        <v>17566</v>
      </c>
      <c r="BP197" t="str">
        <f t="shared" si="3"/>
        <v>HAEMBB</v>
      </c>
    </row>
    <row r="198" spans="1:68" x14ac:dyDescent="0.25">
      <c r="A198" t="s">
        <v>1117</v>
      </c>
      <c r="B198" t="s">
        <v>1118</v>
      </c>
      <c r="C198" t="s">
        <v>1119</v>
      </c>
      <c r="D198">
        <v>27064.1</v>
      </c>
      <c r="E198">
        <v>33005</v>
      </c>
      <c r="F198">
        <v>2606</v>
      </c>
      <c r="G198" t="s">
        <v>159</v>
      </c>
      <c r="H198" t="s">
        <v>1082</v>
      </c>
      <c r="I198" t="s">
        <v>1120</v>
      </c>
      <c r="J198" t="s">
        <v>306</v>
      </c>
      <c r="K198" t="s">
        <v>307</v>
      </c>
      <c r="L198">
        <v>46196</v>
      </c>
      <c r="M198">
        <v>46197</v>
      </c>
      <c r="N198">
        <v>46197</v>
      </c>
      <c r="O198" t="s">
        <v>326</v>
      </c>
      <c r="P198" t="s">
        <v>327</v>
      </c>
      <c r="Q198" t="s">
        <v>328</v>
      </c>
      <c r="R198" t="s">
        <v>310</v>
      </c>
      <c r="S198" t="s">
        <v>209</v>
      </c>
      <c r="T198" t="s">
        <v>870</v>
      </c>
      <c r="U198">
        <v>779</v>
      </c>
      <c r="V198">
        <v>43969</v>
      </c>
      <c r="W198">
        <v>0</v>
      </c>
      <c r="X198">
        <v>4141</v>
      </c>
      <c r="Y198">
        <v>48889</v>
      </c>
      <c r="Z198">
        <v>15946</v>
      </c>
      <c r="AA198">
        <v>46202</v>
      </c>
      <c r="AB198">
        <v>64835</v>
      </c>
      <c r="AC198">
        <v>20463.099999999999</v>
      </c>
      <c r="AD198">
        <v>16770</v>
      </c>
      <c r="AE198">
        <v>16770</v>
      </c>
      <c r="AF198">
        <v>0</v>
      </c>
      <c r="AG198">
        <v>0</v>
      </c>
      <c r="AH198" t="s">
        <v>312</v>
      </c>
      <c r="AI198" t="s">
        <v>312</v>
      </c>
      <c r="AJ198" t="s">
        <v>312</v>
      </c>
      <c r="AK198">
        <v>0</v>
      </c>
      <c r="AL198">
        <v>48889</v>
      </c>
      <c r="AM198">
        <v>23800.499999999996</v>
      </c>
      <c r="AN198">
        <v>0</v>
      </c>
      <c r="AO198">
        <v>23800.499999999996</v>
      </c>
      <c r="AP198">
        <v>16770</v>
      </c>
      <c r="AQ198">
        <v>16770</v>
      </c>
      <c r="AR198">
        <v>48131.199999999997</v>
      </c>
      <c r="AS198">
        <v>15817</v>
      </c>
      <c r="AT198">
        <v>0</v>
      </c>
      <c r="AU198">
        <v>46199</v>
      </c>
      <c r="AV198">
        <v>46199</v>
      </c>
      <c r="AW198" t="s">
        <v>204</v>
      </c>
      <c r="AX198">
        <v>757.80000000000291</v>
      </c>
      <c r="AY198">
        <v>953</v>
      </c>
      <c r="AZ198" t="s">
        <v>313</v>
      </c>
      <c r="BD198">
        <v>2</v>
      </c>
      <c r="BE198">
        <v>2</v>
      </c>
      <c r="BF198" t="s">
        <v>314</v>
      </c>
      <c r="BG198" t="s">
        <v>153</v>
      </c>
      <c r="BH198">
        <v>39705.699999999997</v>
      </c>
      <c r="BI198">
        <v>46213</v>
      </c>
      <c r="BJ198">
        <v>16</v>
      </c>
      <c r="BK198">
        <v>9183.2999999999993</v>
      </c>
      <c r="BL198">
        <v>46220</v>
      </c>
      <c r="BM198">
        <v>23</v>
      </c>
      <c r="BN198">
        <v>48889</v>
      </c>
      <c r="BO198">
        <v>15946</v>
      </c>
      <c r="BP198" t="str">
        <f t="shared" si="3"/>
        <v>HAEMBB</v>
      </c>
    </row>
    <row r="199" spans="1:68" x14ac:dyDescent="0.25">
      <c r="A199" t="s">
        <v>1121</v>
      </c>
      <c r="B199" t="s">
        <v>1122</v>
      </c>
      <c r="C199" t="s">
        <v>1123</v>
      </c>
      <c r="D199">
        <v>17270.84</v>
      </c>
      <c r="E199">
        <v>21062</v>
      </c>
      <c r="F199">
        <v>2606</v>
      </c>
      <c r="G199" t="s">
        <v>159</v>
      </c>
      <c r="H199" t="s">
        <v>1082</v>
      </c>
      <c r="I199" t="s">
        <v>1124</v>
      </c>
      <c r="J199" t="s">
        <v>306</v>
      </c>
      <c r="K199" t="s">
        <v>307</v>
      </c>
      <c r="L199">
        <v>46190</v>
      </c>
      <c r="M199">
        <v>46191</v>
      </c>
      <c r="N199">
        <v>46191</v>
      </c>
      <c r="O199" t="s">
        <v>318</v>
      </c>
      <c r="P199" t="s">
        <v>204</v>
      </c>
      <c r="Q199" t="s">
        <v>309</v>
      </c>
      <c r="R199" t="s">
        <v>903</v>
      </c>
      <c r="S199" t="s">
        <v>209</v>
      </c>
      <c r="T199" t="s">
        <v>822</v>
      </c>
      <c r="U199">
        <v>779</v>
      </c>
      <c r="V199">
        <v>16142</v>
      </c>
      <c r="W199">
        <v>0</v>
      </c>
      <c r="X199">
        <v>4141</v>
      </c>
      <c r="Y199">
        <v>21062</v>
      </c>
      <c r="Z199">
        <v>0</v>
      </c>
      <c r="AA199" t="s">
        <v>204</v>
      </c>
      <c r="AB199">
        <v>21062</v>
      </c>
      <c r="AC199">
        <v>13058.44</v>
      </c>
      <c r="AD199">
        <v>300</v>
      </c>
      <c r="AE199">
        <v>300</v>
      </c>
      <c r="AF199">
        <v>300</v>
      </c>
      <c r="AG199">
        <v>0</v>
      </c>
      <c r="AH199" t="s">
        <v>312</v>
      </c>
      <c r="AI199" t="s">
        <v>312</v>
      </c>
      <c r="AJ199" t="s">
        <v>312</v>
      </c>
      <c r="AK199">
        <v>0</v>
      </c>
      <c r="AL199">
        <v>21062</v>
      </c>
      <c r="AM199">
        <v>16219.4</v>
      </c>
      <c r="AN199">
        <v>0</v>
      </c>
      <c r="AO199">
        <v>16219.4</v>
      </c>
      <c r="AP199">
        <v>300</v>
      </c>
      <c r="AQ199">
        <v>300</v>
      </c>
      <c r="AR199">
        <v>21062.000000000004</v>
      </c>
      <c r="AS199">
        <v>2950</v>
      </c>
      <c r="AT199">
        <v>2960</v>
      </c>
      <c r="AU199">
        <v>46191</v>
      </c>
      <c r="AV199">
        <v>46197</v>
      </c>
      <c r="AW199" t="s">
        <v>204</v>
      </c>
      <c r="AX199">
        <v>0</v>
      </c>
      <c r="AY199">
        <v>-2650</v>
      </c>
      <c r="AZ199" t="s">
        <v>313</v>
      </c>
      <c r="BD199">
        <v>0</v>
      </c>
      <c r="BE199">
        <v>6</v>
      </c>
      <c r="BF199" t="s">
        <v>314</v>
      </c>
      <c r="BG199" t="s">
        <v>153</v>
      </c>
      <c r="BH199">
        <v>16219.4</v>
      </c>
      <c r="BI199">
        <v>46206</v>
      </c>
      <c r="BJ199">
        <v>15</v>
      </c>
      <c r="BK199">
        <v>4842.6000000000004</v>
      </c>
      <c r="BL199">
        <v>46220</v>
      </c>
      <c r="BM199">
        <v>29</v>
      </c>
      <c r="BN199">
        <v>21062</v>
      </c>
      <c r="BO199">
        <v>0</v>
      </c>
      <c r="BP199" t="str">
        <f t="shared" si="3"/>
        <v>HAEMBB</v>
      </c>
    </row>
    <row r="200" spans="1:68" x14ac:dyDescent="0.25">
      <c r="A200" t="s">
        <v>1125</v>
      </c>
      <c r="B200" t="s">
        <v>1126</v>
      </c>
      <c r="C200" t="s">
        <v>1127</v>
      </c>
      <c r="D200">
        <v>14404.119999999999</v>
      </c>
      <c r="E200">
        <v>17566</v>
      </c>
      <c r="F200">
        <v>2606</v>
      </c>
      <c r="G200" t="s">
        <v>159</v>
      </c>
      <c r="H200" t="s">
        <v>1082</v>
      </c>
      <c r="I200" t="s">
        <v>1128</v>
      </c>
      <c r="J200" t="s">
        <v>306</v>
      </c>
      <c r="K200" t="s">
        <v>307</v>
      </c>
      <c r="N200">
        <v>0</v>
      </c>
      <c r="T200">
        <v>0</v>
      </c>
      <c r="U200">
        <v>779</v>
      </c>
      <c r="V200">
        <v>12646</v>
      </c>
      <c r="W200">
        <v>0</v>
      </c>
      <c r="X200">
        <v>4141</v>
      </c>
      <c r="Y200">
        <v>17566</v>
      </c>
      <c r="Z200">
        <v>0</v>
      </c>
      <c r="AA200" t="s">
        <v>204</v>
      </c>
      <c r="AB200">
        <v>17566</v>
      </c>
      <c r="AC200">
        <v>10890.92</v>
      </c>
      <c r="AW200" t="s">
        <v>204</v>
      </c>
      <c r="AX200">
        <v>0</v>
      </c>
      <c r="AY200">
        <v>0</v>
      </c>
      <c r="AZ200" t="s">
        <v>313</v>
      </c>
      <c r="BD200">
        <v>0</v>
      </c>
      <c r="BE200">
        <v>0</v>
      </c>
      <c r="BF200" t="s">
        <v>1057</v>
      </c>
      <c r="BG200" t="s">
        <v>153</v>
      </c>
      <c r="BH200">
        <v>0</v>
      </c>
      <c r="BJ200">
        <v>0</v>
      </c>
      <c r="BK200">
        <v>0</v>
      </c>
      <c r="BM200">
        <v>0</v>
      </c>
      <c r="BN200">
        <v>0</v>
      </c>
      <c r="BO200">
        <v>17566</v>
      </c>
      <c r="BP200" t="str">
        <f t="shared" si="3"/>
        <v>HAEMBB</v>
      </c>
    </row>
    <row r="201" spans="1:68" x14ac:dyDescent="0.25">
      <c r="A201" t="s">
        <v>1129</v>
      </c>
      <c r="B201" t="s">
        <v>1130</v>
      </c>
      <c r="C201" t="s">
        <v>1131</v>
      </c>
      <c r="D201">
        <v>17333.98</v>
      </c>
      <c r="E201">
        <v>21139</v>
      </c>
      <c r="F201">
        <v>2606</v>
      </c>
      <c r="G201" t="s">
        <v>159</v>
      </c>
      <c r="H201" t="s">
        <v>1082</v>
      </c>
      <c r="I201" t="s">
        <v>1132</v>
      </c>
      <c r="J201" t="s">
        <v>306</v>
      </c>
      <c r="K201" t="s">
        <v>307</v>
      </c>
      <c r="N201">
        <v>0</v>
      </c>
      <c r="T201">
        <v>0</v>
      </c>
      <c r="U201">
        <v>779</v>
      </c>
      <c r="V201">
        <v>16219</v>
      </c>
      <c r="W201">
        <v>0</v>
      </c>
      <c r="X201">
        <v>4141</v>
      </c>
      <c r="Y201">
        <v>21139</v>
      </c>
      <c r="Z201">
        <v>0</v>
      </c>
      <c r="AA201" t="s">
        <v>204</v>
      </c>
      <c r="AB201">
        <v>21139</v>
      </c>
      <c r="AC201">
        <v>13106.18</v>
      </c>
      <c r="AW201" t="s">
        <v>204</v>
      </c>
      <c r="AX201">
        <v>0</v>
      </c>
      <c r="AY201">
        <v>0</v>
      </c>
      <c r="AZ201" t="s">
        <v>313</v>
      </c>
      <c r="BD201">
        <v>0</v>
      </c>
      <c r="BE201">
        <v>0</v>
      </c>
      <c r="BF201" t="s">
        <v>1057</v>
      </c>
      <c r="BG201" t="s">
        <v>153</v>
      </c>
      <c r="BH201">
        <v>0</v>
      </c>
      <c r="BJ201">
        <v>0</v>
      </c>
      <c r="BK201">
        <v>0</v>
      </c>
      <c r="BM201">
        <v>0</v>
      </c>
      <c r="BN201">
        <v>0</v>
      </c>
      <c r="BO201">
        <v>21139</v>
      </c>
      <c r="BP201" t="str">
        <f t="shared" si="3"/>
        <v>HAEMBB</v>
      </c>
    </row>
    <row r="202" spans="1:68" x14ac:dyDescent="0.25">
      <c r="A202" t="s">
        <v>1133</v>
      </c>
      <c r="B202" t="s">
        <v>1134</v>
      </c>
      <c r="C202" t="s">
        <v>1135</v>
      </c>
      <c r="D202">
        <v>17343</v>
      </c>
      <c r="E202">
        <v>21150</v>
      </c>
      <c r="F202">
        <v>2606</v>
      </c>
      <c r="G202" t="s">
        <v>159</v>
      </c>
      <c r="H202" t="s">
        <v>1082</v>
      </c>
      <c r="I202" t="s">
        <v>1136</v>
      </c>
      <c r="J202" t="s">
        <v>306</v>
      </c>
      <c r="K202" t="s">
        <v>307</v>
      </c>
      <c r="N202">
        <v>0</v>
      </c>
      <c r="T202">
        <v>0</v>
      </c>
      <c r="U202">
        <v>779</v>
      </c>
      <c r="V202">
        <v>16230</v>
      </c>
      <c r="W202">
        <v>0</v>
      </c>
      <c r="X202">
        <v>4141</v>
      </c>
      <c r="Y202">
        <v>21150</v>
      </c>
      <c r="Z202">
        <v>0</v>
      </c>
      <c r="AA202" t="s">
        <v>204</v>
      </c>
      <c r="AB202">
        <v>21150</v>
      </c>
      <c r="AC202">
        <v>13113</v>
      </c>
      <c r="AW202" t="s">
        <v>204</v>
      </c>
      <c r="AX202">
        <v>0</v>
      </c>
      <c r="AY202">
        <v>0</v>
      </c>
      <c r="AZ202" t="s">
        <v>313</v>
      </c>
      <c r="BD202">
        <v>0</v>
      </c>
      <c r="BE202">
        <v>0</v>
      </c>
      <c r="BF202" t="s">
        <v>1057</v>
      </c>
      <c r="BG202" t="s">
        <v>153</v>
      </c>
      <c r="BH202">
        <v>0</v>
      </c>
      <c r="BJ202">
        <v>0</v>
      </c>
      <c r="BK202">
        <v>0</v>
      </c>
      <c r="BM202">
        <v>0</v>
      </c>
      <c r="BN202">
        <v>0</v>
      </c>
      <c r="BO202">
        <v>21150</v>
      </c>
      <c r="BP202" t="str">
        <f t="shared" si="3"/>
        <v>HAEMBB</v>
      </c>
    </row>
    <row r="203" spans="1:68" x14ac:dyDescent="0.25">
      <c r="A203" t="s">
        <v>1137</v>
      </c>
      <c r="B203" t="s">
        <v>1138</v>
      </c>
      <c r="C203" t="s">
        <v>1139</v>
      </c>
      <c r="D203">
        <v>17828.439999999999</v>
      </c>
      <c r="E203">
        <v>21742</v>
      </c>
      <c r="F203">
        <v>2606</v>
      </c>
      <c r="G203" t="s">
        <v>159</v>
      </c>
      <c r="H203" t="s">
        <v>1082</v>
      </c>
      <c r="I203" t="s">
        <v>1140</v>
      </c>
      <c r="J203" t="s">
        <v>306</v>
      </c>
      <c r="K203" t="s">
        <v>307</v>
      </c>
      <c r="L203">
        <v>46196</v>
      </c>
      <c r="M203">
        <v>46196</v>
      </c>
      <c r="N203">
        <v>46196</v>
      </c>
      <c r="O203" t="s">
        <v>318</v>
      </c>
      <c r="P203" t="s">
        <v>204</v>
      </c>
      <c r="Q203" t="s">
        <v>309</v>
      </c>
      <c r="R203" t="s">
        <v>310</v>
      </c>
      <c r="S203" t="s">
        <v>211</v>
      </c>
      <c r="T203" t="s">
        <v>870</v>
      </c>
      <c r="U203">
        <v>779</v>
      </c>
      <c r="V203">
        <v>14427</v>
      </c>
      <c r="W203">
        <v>0</v>
      </c>
      <c r="X203">
        <v>6536</v>
      </c>
      <c r="Y203">
        <v>21742</v>
      </c>
      <c r="Z203">
        <v>0</v>
      </c>
      <c r="AA203" t="s">
        <v>204</v>
      </c>
      <c r="AB203">
        <v>21742</v>
      </c>
      <c r="AC203">
        <v>13480.039999999999</v>
      </c>
      <c r="AD203">
        <v>0</v>
      </c>
      <c r="AE203">
        <v>0</v>
      </c>
      <c r="AF203">
        <v>0</v>
      </c>
      <c r="AG203">
        <v>0</v>
      </c>
      <c r="AH203" t="s">
        <v>312</v>
      </c>
      <c r="AI203" t="s">
        <v>312</v>
      </c>
      <c r="AJ203" t="s">
        <v>312</v>
      </c>
      <c r="AK203">
        <v>0</v>
      </c>
      <c r="AL203">
        <v>21742</v>
      </c>
      <c r="AM203">
        <v>17413.899999999998</v>
      </c>
      <c r="AN203">
        <v>0</v>
      </c>
      <c r="AO203">
        <v>17413.899999999998</v>
      </c>
      <c r="AP203">
        <v>0</v>
      </c>
      <c r="AQ203">
        <v>0</v>
      </c>
      <c r="AR203">
        <v>21742.000000000004</v>
      </c>
      <c r="AS203">
        <v>286.5</v>
      </c>
      <c r="AT203">
        <v>1480</v>
      </c>
      <c r="AU203">
        <v>46196</v>
      </c>
      <c r="AV203">
        <v>46198</v>
      </c>
      <c r="AW203" t="s">
        <v>204</v>
      </c>
      <c r="AX203">
        <v>0</v>
      </c>
      <c r="AY203">
        <v>-286.5</v>
      </c>
      <c r="AZ203" t="s">
        <v>313</v>
      </c>
      <c r="BD203">
        <v>0</v>
      </c>
      <c r="BE203">
        <v>2</v>
      </c>
      <c r="BF203" t="s">
        <v>314</v>
      </c>
      <c r="BG203" t="s">
        <v>153</v>
      </c>
      <c r="BH203">
        <v>17413.899999999998</v>
      </c>
      <c r="BI203">
        <v>46206</v>
      </c>
      <c r="BJ203">
        <v>10</v>
      </c>
      <c r="BK203">
        <v>4328.0999999999995</v>
      </c>
      <c r="BL203">
        <v>46220</v>
      </c>
      <c r="BM203">
        <v>24</v>
      </c>
      <c r="BN203">
        <v>21741.999999999996</v>
      </c>
      <c r="BO203">
        <v>0</v>
      </c>
      <c r="BP203" t="str">
        <f t="shared" si="3"/>
        <v>HAEMBB</v>
      </c>
    </row>
    <row r="204" spans="1:68" x14ac:dyDescent="0.25">
      <c r="A204" t="s">
        <v>1141</v>
      </c>
      <c r="B204" t="s">
        <v>1142</v>
      </c>
      <c r="C204" t="s">
        <v>1143</v>
      </c>
      <c r="D204">
        <v>20180.2</v>
      </c>
      <c r="E204">
        <v>24610</v>
      </c>
      <c r="F204">
        <v>2606</v>
      </c>
      <c r="G204" t="s">
        <v>159</v>
      </c>
      <c r="H204" t="s">
        <v>1082</v>
      </c>
      <c r="I204" t="s">
        <v>1144</v>
      </c>
      <c r="J204" t="s">
        <v>306</v>
      </c>
      <c r="K204" t="s">
        <v>307</v>
      </c>
      <c r="L204">
        <v>46190</v>
      </c>
      <c r="M204">
        <v>46190</v>
      </c>
      <c r="N204">
        <v>46190</v>
      </c>
      <c r="O204" t="s">
        <v>326</v>
      </c>
      <c r="P204" t="s">
        <v>327</v>
      </c>
      <c r="Q204" t="s">
        <v>328</v>
      </c>
      <c r="R204" t="s">
        <v>310</v>
      </c>
      <c r="S204" t="s">
        <v>211</v>
      </c>
      <c r="T204" t="s">
        <v>822</v>
      </c>
      <c r="U204">
        <v>779</v>
      </c>
      <c r="V204">
        <v>19690</v>
      </c>
      <c r="W204">
        <v>0</v>
      </c>
      <c r="X204">
        <v>4141</v>
      </c>
      <c r="Y204">
        <v>24610</v>
      </c>
      <c r="Z204">
        <v>0</v>
      </c>
      <c r="AA204" t="s">
        <v>204</v>
      </c>
      <c r="AB204">
        <v>24610</v>
      </c>
      <c r="AC204">
        <v>15258.2</v>
      </c>
      <c r="AD204">
        <v>10150</v>
      </c>
      <c r="AE204">
        <v>10150</v>
      </c>
      <c r="AF204">
        <v>0</v>
      </c>
      <c r="AG204">
        <v>0</v>
      </c>
      <c r="AH204" t="s">
        <v>312</v>
      </c>
      <c r="AI204" t="s">
        <v>312</v>
      </c>
      <c r="AJ204" t="s">
        <v>312</v>
      </c>
      <c r="AK204">
        <v>0</v>
      </c>
      <c r="AL204">
        <v>24610</v>
      </c>
      <c r="AM204">
        <v>18703</v>
      </c>
      <c r="AN204">
        <v>0</v>
      </c>
      <c r="AO204">
        <v>18703</v>
      </c>
      <c r="AP204">
        <v>10150</v>
      </c>
      <c r="AQ204">
        <v>10150</v>
      </c>
      <c r="AR204">
        <v>24610</v>
      </c>
      <c r="AS204">
        <v>10774</v>
      </c>
      <c r="AT204">
        <v>0</v>
      </c>
      <c r="AU204">
        <v>46190</v>
      </c>
      <c r="AV204">
        <v>46196</v>
      </c>
      <c r="AW204" t="s">
        <v>204</v>
      </c>
      <c r="AX204">
        <v>0</v>
      </c>
      <c r="AY204">
        <v>-624</v>
      </c>
      <c r="AZ204" t="s">
        <v>313</v>
      </c>
      <c r="BD204">
        <v>0</v>
      </c>
      <c r="BE204">
        <v>6</v>
      </c>
      <c r="BF204" t="s">
        <v>314</v>
      </c>
      <c r="BG204" t="s">
        <v>153</v>
      </c>
      <c r="BH204">
        <v>18703</v>
      </c>
      <c r="BI204">
        <v>46206</v>
      </c>
      <c r="BJ204">
        <v>16</v>
      </c>
      <c r="BK204">
        <v>5907</v>
      </c>
      <c r="BL204">
        <v>46220</v>
      </c>
      <c r="BM204">
        <v>30</v>
      </c>
      <c r="BN204">
        <v>24610</v>
      </c>
      <c r="BO204">
        <v>0</v>
      </c>
      <c r="BP204" t="str">
        <f t="shared" si="3"/>
        <v>HAEMBB</v>
      </c>
    </row>
    <row r="205" spans="1:68" x14ac:dyDescent="0.25">
      <c r="A205" t="s">
        <v>1145</v>
      </c>
      <c r="B205" t="s">
        <v>1146</v>
      </c>
      <c r="C205" t="s">
        <v>1147</v>
      </c>
      <c r="D205">
        <v>20272.86</v>
      </c>
      <c r="E205">
        <v>24723</v>
      </c>
      <c r="F205">
        <v>2606</v>
      </c>
      <c r="G205" t="s">
        <v>159</v>
      </c>
      <c r="H205" t="s">
        <v>1082</v>
      </c>
      <c r="I205" t="s">
        <v>1148</v>
      </c>
      <c r="J205" t="s">
        <v>306</v>
      </c>
      <c r="K205" t="s">
        <v>307</v>
      </c>
      <c r="N205">
        <v>0</v>
      </c>
      <c r="T205">
        <v>0</v>
      </c>
      <c r="U205">
        <v>779</v>
      </c>
      <c r="V205">
        <v>19803</v>
      </c>
      <c r="W205">
        <v>0</v>
      </c>
      <c r="X205">
        <v>4141</v>
      </c>
      <c r="Y205">
        <v>24723</v>
      </c>
      <c r="Z205">
        <v>0</v>
      </c>
      <c r="AA205" t="s">
        <v>204</v>
      </c>
      <c r="AB205">
        <v>24723</v>
      </c>
      <c r="AC205">
        <v>15328.26</v>
      </c>
      <c r="AW205" t="s">
        <v>204</v>
      </c>
      <c r="AX205">
        <v>0</v>
      </c>
      <c r="AY205">
        <v>0</v>
      </c>
      <c r="AZ205" t="s">
        <v>313</v>
      </c>
      <c r="BD205">
        <v>0</v>
      </c>
      <c r="BE205">
        <v>0</v>
      </c>
      <c r="BF205" t="s">
        <v>1057</v>
      </c>
      <c r="BG205" t="s">
        <v>153</v>
      </c>
      <c r="BH205">
        <v>779</v>
      </c>
      <c r="BI205">
        <v>46272</v>
      </c>
      <c r="BK205">
        <v>0</v>
      </c>
      <c r="BM205">
        <v>0</v>
      </c>
      <c r="BN205">
        <v>779</v>
      </c>
      <c r="BO205">
        <v>23944</v>
      </c>
      <c r="BP205" t="str">
        <f t="shared" si="3"/>
        <v>HAEMBB</v>
      </c>
    </row>
    <row r="206" spans="1:68" x14ac:dyDescent="0.25">
      <c r="A206" t="s">
        <v>1149</v>
      </c>
      <c r="B206" t="s">
        <v>1150</v>
      </c>
      <c r="C206" t="s">
        <v>1151</v>
      </c>
      <c r="D206">
        <v>17996.54</v>
      </c>
      <c r="E206">
        <v>21947</v>
      </c>
      <c r="F206">
        <v>2606</v>
      </c>
      <c r="G206" t="s">
        <v>159</v>
      </c>
      <c r="H206" t="s">
        <v>1082</v>
      </c>
      <c r="I206" t="s">
        <v>1152</v>
      </c>
      <c r="J206" t="s">
        <v>306</v>
      </c>
      <c r="K206" t="s">
        <v>307</v>
      </c>
      <c r="L206">
        <v>46196</v>
      </c>
      <c r="M206">
        <v>46196</v>
      </c>
      <c r="N206">
        <v>46196</v>
      </c>
      <c r="O206" t="s">
        <v>487</v>
      </c>
      <c r="P206" t="s">
        <v>204</v>
      </c>
      <c r="Q206" t="s">
        <v>309</v>
      </c>
      <c r="R206" t="s">
        <v>310</v>
      </c>
      <c r="S206" t="s">
        <v>209</v>
      </c>
      <c r="T206" t="s">
        <v>870</v>
      </c>
      <c r="U206">
        <v>779</v>
      </c>
      <c r="V206">
        <v>17027</v>
      </c>
      <c r="W206">
        <v>0</v>
      </c>
      <c r="X206">
        <v>4141</v>
      </c>
      <c r="Y206">
        <v>21947</v>
      </c>
      <c r="Z206">
        <v>0</v>
      </c>
      <c r="AA206" t="s">
        <v>204</v>
      </c>
      <c r="AB206">
        <v>21947</v>
      </c>
      <c r="AC206">
        <v>13607.14</v>
      </c>
      <c r="AD206">
        <v>300</v>
      </c>
      <c r="AE206">
        <v>300</v>
      </c>
      <c r="AF206">
        <v>300</v>
      </c>
      <c r="AG206">
        <v>0</v>
      </c>
      <c r="AH206" t="s">
        <v>312</v>
      </c>
      <c r="AI206" t="s">
        <v>312</v>
      </c>
      <c r="AJ206" t="s">
        <v>312</v>
      </c>
      <c r="AK206">
        <v>0</v>
      </c>
      <c r="AL206">
        <v>21947</v>
      </c>
      <c r="AM206">
        <v>16838.899999999998</v>
      </c>
      <c r="AN206">
        <v>0</v>
      </c>
      <c r="AO206">
        <v>16838.899999999998</v>
      </c>
      <c r="AP206">
        <v>300</v>
      </c>
      <c r="AQ206">
        <v>300</v>
      </c>
      <c r="AR206">
        <v>21947.000000000004</v>
      </c>
      <c r="AS206">
        <v>2934</v>
      </c>
      <c r="AT206">
        <v>1352</v>
      </c>
      <c r="AU206">
        <v>46198</v>
      </c>
      <c r="AV206">
        <v>46199</v>
      </c>
      <c r="AW206" t="s">
        <v>204</v>
      </c>
      <c r="AX206">
        <v>0</v>
      </c>
      <c r="AY206">
        <v>-2634</v>
      </c>
      <c r="AZ206" t="s">
        <v>313</v>
      </c>
      <c r="BD206">
        <v>2</v>
      </c>
      <c r="BE206">
        <v>3</v>
      </c>
      <c r="BF206" t="s">
        <v>314</v>
      </c>
      <c r="BG206" t="s">
        <v>153</v>
      </c>
      <c r="BH206">
        <v>16838.899999999998</v>
      </c>
      <c r="BI206">
        <v>46206</v>
      </c>
      <c r="BJ206">
        <v>10</v>
      </c>
      <c r="BK206">
        <v>5108.1000000000004</v>
      </c>
      <c r="BL206">
        <v>46220</v>
      </c>
      <c r="BM206">
        <v>24</v>
      </c>
      <c r="BN206">
        <v>21947</v>
      </c>
      <c r="BO206">
        <v>0</v>
      </c>
      <c r="BP206" t="str">
        <f t="shared" si="3"/>
        <v>HAEMBB</v>
      </c>
    </row>
    <row r="207" spans="1:68" x14ac:dyDescent="0.25">
      <c r="A207" t="s">
        <v>1153</v>
      </c>
      <c r="B207" t="s">
        <v>1154</v>
      </c>
      <c r="C207" t="s">
        <v>1155</v>
      </c>
      <c r="D207">
        <v>14404.119999999999</v>
      </c>
      <c r="E207">
        <v>17566</v>
      </c>
      <c r="F207">
        <v>2606</v>
      </c>
      <c r="G207" t="s">
        <v>159</v>
      </c>
      <c r="H207" t="s">
        <v>1082</v>
      </c>
      <c r="I207" t="s">
        <v>1156</v>
      </c>
      <c r="J207" t="s">
        <v>306</v>
      </c>
      <c r="K207" t="s">
        <v>307</v>
      </c>
      <c r="N207">
        <v>0</v>
      </c>
      <c r="T207">
        <v>0</v>
      </c>
      <c r="U207">
        <v>779</v>
      </c>
      <c r="V207">
        <v>12646</v>
      </c>
      <c r="W207">
        <v>0</v>
      </c>
      <c r="X207">
        <v>4141</v>
      </c>
      <c r="Y207">
        <v>17566</v>
      </c>
      <c r="Z207">
        <v>0</v>
      </c>
      <c r="AA207" t="s">
        <v>204</v>
      </c>
      <c r="AB207">
        <v>17566</v>
      </c>
      <c r="AC207">
        <v>10890.92</v>
      </c>
      <c r="AW207" t="s">
        <v>204</v>
      </c>
      <c r="AX207">
        <v>0</v>
      </c>
      <c r="AY207">
        <v>0</v>
      </c>
      <c r="AZ207" t="s">
        <v>313</v>
      </c>
      <c r="BD207">
        <v>0</v>
      </c>
      <c r="BE207">
        <v>0</v>
      </c>
      <c r="BF207" t="s">
        <v>1057</v>
      </c>
      <c r="BG207" t="s">
        <v>153</v>
      </c>
      <c r="BH207">
        <v>779</v>
      </c>
      <c r="BI207">
        <v>46272</v>
      </c>
      <c r="BK207">
        <v>0</v>
      </c>
      <c r="BM207">
        <v>0</v>
      </c>
      <c r="BN207">
        <v>779</v>
      </c>
      <c r="BO207">
        <v>16787</v>
      </c>
      <c r="BP207" t="str">
        <f t="shared" si="3"/>
        <v>HAEMBB</v>
      </c>
    </row>
    <row r="208" spans="1:68" x14ac:dyDescent="0.25">
      <c r="A208" t="s">
        <v>1157</v>
      </c>
      <c r="B208" t="s">
        <v>1158</v>
      </c>
      <c r="C208" t="s">
        <v>1159</v>
      </c>
      <c r="D208">
        <v>21948.119999999995</v>
      </c>
      <c r="E208">
        <v>26766</v>
      </c>
      <c r="F208">
        <v>2606</v>
      </c>
      <c r="G208" t="s">
        <v>159</v>
      </c>
      <c r="H208" t="s">
        <v>1082</v>
      </c>
      <c r="I208" t="s">
        <v>902</v>
      </c>
      <c r="J208" t="s">
        <v>306</v>
      </c>
      <c r="K208" t="s">
        <v>307</v>
      </c>
      <c r="N208">
        <v>0</v>
      </c>
      <c r="T208">
        <v>0</v>
      </c>
      <c r="U208">
        <v>779</v>
      </c>
      <c r="V208">
        <v>21846</v>
      </c>
      <c r="W208">
        <v>0</v>
      </c>
      <c r="X208">
        <v>4141</v>
      </c>
      <c r="Y208">
        <v>26766</v>
      </c>
      <c r="Z208">
        <v>0</v>
      </c>
      <c r="AA208" t="s">
        <v>204</v>
      </c>
      <c r="AB208">
        <v>26766</v>
      </c>
      <c r="AC208">
        <v>16594.919999999998</v>
      </c>
      <c r="AW208" t="s">
        <v>204</v>
      </c>
      <c r="AX208">
        <v>0</v>
      </c>
      <c r="AY208">
        <v>0</v>
      </c>
      <c r="AZ208" t="s">
        <v>313</v>
      </c>
      <c r="BD208">
        <v>0</v>
      </c>
      <c r="BE208">
        <v>0</v>
      </c>
      <c r="BF208" t="s">
        <v>1057</v>
      </c>
      <c r="BG208" t="s">
        <v>153</v>
      </c>
      <c r="BH208">
        <v>779</v>
      </c>
      <c r="BI208">
        <v>46272</v>
      </c>
      <c r="BK208">
        <v>0</v>
      </c>
      <c r="BM208">
        <v>0</v>
      </c>
      <c r="BN208">
        <v>779</v>
      </c>
      <c r="BO208">
        <v>25987</v>
      </c>
      <c r="BP208" t="str">
        <f t="shared" si="3"/>
        <v>HAEMBB</v>
      </c>
    </row>
    <row r="209" spans="1:68" x14ac:dyDescent="0.25">
      <c r="A209" t="s">
        <v>1160</v>
      </c>
      <c r="B209" t="s">
        <v>1161</v>
      </c>
      <c r="C209" t="s">
        <v>1162</v>
      </c>
      <c r="D209">
        <v>16368.02</v>
      </c>
      <c r="E209">
        <v>19961</v>
      </c>
      <c r="F209">
        <v>2606</v>
      </c>
      <c r="G209" t="s">
        <v>159</v>
      </c>
      <c r="H209" t="s">
        <v>1082</v>
      </c>
      <c r="I209" t="s">
        <v>1163</v>
      </c>
      <c r="J209" t="s">
        <v>306</v>
      </c>
      <c r="K209" t="s">
        <v>307</v>
      </c>
      <c r="L209">
        <v>46198</v>
      </c>
      <c r="M209">
        <v>46198</v>
      </c>
      <c r="N209">
        <v>46198</v>
      </c>
      <c r="O209" t="s">
        <v>318</v>
      </c>
      <c r="P209" t="s">
        <v>204</v>
      </c>
      <c r="Q209" t="s">
        <v>309</v>
      </c>
      <c r="R209" t="s">
        <v>310</v>
      </c>
      <c r="S209" t="s">
        <v>209</v>
      </c>
      <c r="T209" t="s">
        <v>870</v>
      </c>
      <c r="U209">
        <v>779</v>
      </c>
      <c r="V209">
        <v>12646</v>
      </c>
      <c r="W209">
        <v>0</v>
      </c>
      <c r="X209">
        <v>6536</v>
      </c>
      <c r="Y209">
        <v>19961</v>
      </c>
      <c r="Z209">
        <v>0</v>
      </c>
      <c r="AA209" t="s">
        <v>204</v>
      </c>
      <c r="AB209">
        <v>19961</v>
      </c>
      <c r="AC209">
        <v>12375.82</v>
      </c>
      <c r="AD209">
        <v>300</v>
      </c>
      <c r="AE209">
        <v>300</v>
      </c>
      <c r="AF209">
        <v>300</v>
      </c>
      <c r="AG209">
        <v>0</v>
      </c>
      <c r="AH209" t="s">
        <v>312</v>
      </c>
      <c r="AI209" t="s">
        <v>312</v>
      </c>
      <c r="AJ209" t="s">
        <v>312</v>
      </c>
      <c r="AK209">
        <v>0</v>
      </c>
      <c r="AL209">
        <v>19961</v>
      </c>
      <c r="AM209">
        <v>12993.2</v>
      </c>
      <c r="AN209">
        <v>0</v>
      </c>
      <c r="AO209">
        <v>12993.2</v>
      </c>
      <c r="AP209">
        <v>300</v>
      </c>
      <c r="AQ209">
        <v>300</v>
      </c>
      <c r="AR209">
        <v>19961</v>
      </c>
      <c r="AS209">
        <v>1784.5</v>
      </c>
      <c r="AT209">
        <v>1480</v>
      </c>
      <c r="AU209">
        <v>46198</v>
      </c>
      <c r="AV209">
        <v>46200</v>
      </c>
      <c r="AW209" t="s">
        <v>204</v>
      </c>
      <c r="AX209">
        <v>0</v>
      </c>
      <c r="AY209">
        <v>-1484.5</v>
      </c>
      <c r="AZ209" t="s">
        <v>313</v>
      </c>
      <c r="BD209">
        <v>0</v>
      </c>
      <c r="BE209">
        <v>2</v>
      </c>
      <c r="BF209" t="s">
        <v>314</v>
      </c>
      <c r="BG209" t="s">
        <v>153</v>
      </c>
      <c r="BH209">
        <v>16167.2</v>
      </c>
      <c r="BI209">
        <v>46213</v>
      </c>
      <c r="BJ209">
        <v>15</v>
      </c>
      <c r="BK209">
        <v>3793.8</v>
      </c>
      <c r="BL209">
        <v>46220</v>
      </c>
      <c r="BM209">
        <v>22</v>
      </c>
      <c r="BN209">
        <v>19961</v>
      </c>
      <c r="BO209">
        <v>0</v>
      </c>
      <c r="BP209" t="str">
        <f t="shared" si="3"/>
        <v>HAEMBB</v>
      </c>
    </row>
    <row r="210" spans="1:68" x14ac:dyDescent="0.25">
      <c r="A210" t="s">
        <v>1164</v>
      </c>
      <c r="B210" t="s">
        <v>1165</v>
      </c>
      <c r="C210" t="s">
        <v>1166</v>
      </c>
      <c r="D210">
        <v>14404.119999999999</v>
      </c>
      <c r="E210">
        <v>17566</v>
      </c>
      <c r="F210">
        <v>2606</v>
      </c>
      <c r="G210" t="s">
        <v>159</v>
      </c>
      <c r="H210" t="s">
        <v>1082</v>
      </c>
      <c r="I210" t="s">
        <v>1167</v>
      </c>
      <c r="J210" t="s">
        <v>306</v>
      </c>
      <c r="K210" t="s">
        <v>307</v>
      </c>
      <c r="N210">
        <v>0</v>
      </c>
      <c r="T210">
        <v>0</v>
      </c>
      <c r="U210">
        <v>779</v>
      </c>
      <c r="V210">
        <v>12646</v>
      </c>
      <c r="W210">
        <v>0</v>
      </c>
      <c r="X210">
        <v>4141</v>
      </c>
      <c r="Y210">
        <v>17566</v>
      </c>
      <c r="Z210">
        <v>0</v>
      </c>
      <c r="AA210" t="s">
        <v>204</v>
      </c>
      <c r="AB210">
        <v>17566</v>
      </c>
      <c r="AC210">
        <v>10890.92</v>
      </c>
      <c r="AW210" t="s">
        <v>204</v>
      </c>
      <c r="AX210">
        <v>0</v>
      </c>
      <c r="AY210">
        <v>0</v>
      </c>
      <c r="AZ210" t="s">
        <v>313</v>
      </c>
      <c r="BD210">
        <v>0</v>
      </c>
      <c r="BE210">
        <v>0</v>
      </c>
      <c r="BF210" t="s">
        <v>1057</v>
      </c>
      <c r="BG210" t="s">
        <v>153</v>
      </c>
      <c r="BH210">
        <v>0</v>
      </c>
      <c r="BJ210">
        <v>0</v>
      </c>
      <c r="BK210">
        <v>0</v>
      </c>
      <c r="BM210">
        <v>0</v>
      </c>
      <c r="BN210">
        <v>0</v>
      </c>
      <c r="BO210">
        <v>17566</v>
      </c>
      <c r="BP210" t="str">
        <f t="shared" si="3"/>
        <v>HAEMBB</v>
      </c>
    </row>
    <row r="211" spans="1:68" x14ac:dyDescent="0.25">
      <c r="A211" t="s">
        <v>1168</v>
      </c>
      <c r="B211" t="s">
        <v>1169</v>
      </c>
      <c r="C211" t="s">
        <v>1170</v>
      </c>
      <c r="D211">
        <v>14413.140000000001</v>
      </c>
      <c r="E211">
        <v>17577</v>
      </c>
      <c r="F211">
        <v>2606</v>
      </c>
      <c r="G211" t="s">
        <v>159</v>
      </c>
      <c r="H211" t="s">
        <v>1082</v>
      </c>
      <c r="I211" t="s">
        <v>1004</v>
      </c>
      <c r="J211" t="s">
        <v>306</v>
      </c>
      <c r="K211" t="s">
        <v>307</v>
      </c>
      <c r="L211">
        <v>46191</v>
      </c>
      <c r="M211">
        <v>46191</v>
      </c>
      <c r="N211">
        <v>46191</v>
      </c>
      <c r="O211" t="s">
        <v>318</v>
      </c>
      <c r="P211" t="s">
        <v>204</v>
      </c>
      <c r="Q211" t="s">
        <v>309</v>
      </c>
      <c r="R211" t="s">
        <v>310</v>
      </c>
      <c r="S211" t="s">
        <v>211</v>
      </c>
      <c r="T211" t="s">
        <v>822</v>
      </c>
      <c r="U211">
        <v>779</v>
      </c>
      <c r="V211">
        <v>12657</v>
      </c>
      <c r="W211">
        <v>0</v>
      </c>
      <c r="X211">
        <v>4141</v>
      </c>
      <c r="Y211">
        <v>17577</v>
      </c>
      <c r="Z211">
        <v>1781</v>
      </c>
      <c r="AA211">
        <v>46202</v>
      </c>
      <c r="AB211">
        <v>19358</v>
      </c>
      <c r="AC211">
        <v>10897.74</v>
      </c>
      <c r="AD211">
        <v>0</v>
      </c>
      <c r="AE211">
        <v>0</v>
      </c>
      <c r="AF211">
        <v>0</v>
      </c>
      <c r="AG211">
        <v>0</v>
      </c>
      <c r="AH211" t="s">
        <v>312</v>
      </c>
      <c r="AI211" t="s">
        <v>312</v>
      </c>
      <c r="AJ211" t="s">
        <v>312</v>
      </c>
      <c r="AK211">
        <v>0</v>
      </c>
      <c r="AL211">
        <v>17577</v>
      </c>
      <c r="AM211">
        <v>13779.900000000001</v>
      </c>
      <c r="AN211">
        <v>0</v>
      </c>
      <c r="AO211">
        <v>13779.900000000001</v>
      </c>
      <c r="AP211">
        <v>0</v>
      </c>
      <c r="AQ211">
        <v>0</v>
      </c>
      <c r="AR211">
        <v>13779.900000000001</v>
      </c>
      <c r="AS211">
        <v>2214.5</v>
      </c>
      <c r="AT211">
        <v>1480</v>
      </c>
      <c r="AU211">
        <v>46191</v>
      </c>
      <c r="AV211">
        <v>46197</v>
      </c>
      <c r="AW211" t="s">
        <v>204</v>
      </c>
      <c r="AX211">
        <v>3797.0999999999985</v>
      </c>
      <c r="AY211">
        <v>-2214.5</v>
      </c>
      <c r="AZ211" t="s">
        <v>313</v>
      </c>
      <c r="BD211">
        <v>0</v>
      </c>
      <c r="BE211">
        <v>6</v>
      </c>
      <c r="BF211" t="s">
        <v>314</v>
      </c>
      <c r="BG211" t="s">
        <v>153</v>
      </c>
      <c r="BH211">
        <v>13779.900000000001</v>
      </c>
      <c r="BI211">
        <v>46206</v>
      </c>
      <c r="BJ211">
        <v>15</v>
      </c>
      <c r="BK211">
        <v>3797.1</v>
      </c>
      <c r="BL211">
        <v>46234</v>
      </c>
      <c r="BM211">
        <v>43</v>
      </c>
      <c r="BN211">
        <v>17577</v>
      </c>
      <c r="BO211">
        <v>1781</v>
      </c>
      <c r="BP211" t="str">
        <f t="shared" si="3"/>
        <v>HAEMBB</v>
      </c>
    </row>
    <row r="212" spans="1:68" x14ac:dyDescent="0.25">
      <c r="A212" t="s">
        <v>1171</v>
      </c>
      <c r="B212" t="s">
        <v>1172</v>
      </c>
      <c r="C212" t="s">
        <v>1173</v>
      </c>
      <c r="D212">
        <v>17343</v>
      </c>
      <c r="E212">
        <v>21150</v>
      </c>
      <c r="F212">
        <v>2606</v>
      </c>
      <c r="G212" t="s">
        <v>159</v>
      </c>
      <c r="H212" t="s">
        <v>1082</v>
      </c>
      <c r="I212" t="s">
        <v>1174</v>
      </c>
      <c r="J212" t="s">
        <v>306</v>
      </c>
      <c r="K212" t="s">
        <v>307</v>
      </c>
      <c r="L212">
        <v>46195</v>
      </c>
      <c r="M212">
        <v>46195</v>
      </c>
      <c r="N212">
        <v>46195</v>
      </c>
      <c r="O212" t="s">
        <v>326</v>
      </c>
      <c r="P212" t="s">
        <v>327</v>
      </c>
      <c r="Q212" t="s">
        <v>328</v>
      </c>
      <c r="R212" t="s">
        <v>310</v>
      </c>
      <c r="S212" t="s">
        <v>211</v>
      </c>
      <c r="T212" t="s">
        <v>870</v>
      </c>
      <c r="U212">
        <v>779</v>
      </c>
      <c r="V212">
        <v>16230</v>
      </c>
      <c r="W212">
        <v>0</v>
      </c>
      <c r="X212">
        <v>4141</v>
      </c>
      <c r="Y212">
        <v>21150</v>
      </c>
      <c r="Z212">
        <v>0</v>
      </c>
      <c r="AA212" t="s">
        <v>204</v>
      </c>
      <c r="AB212">
        <v>21150</v>
      </c>
      <c r="AC212">
        <v>13113</v>
      </c>
      <c r="AD212">
        <v>8420</v>
      </c>
      <c r="AE212">
        <v>8420</v>
      </c>
      <c r="AF212">
        <v>0</v>
      </c>
      <c r="AG212">
        <v>0</v>
      </c>
      <c r="AH212" t="s">
        <v>312</v>
      </c>
      <c r="AI212" t="s">
        <v>312</v>
      </c>
      <c r="AJ212" t="s">
        <v>312</v>
      </c>
      <c r="AK212">
        <v>0</v>
      </c>
      <c r="AL212">
        <v>21150</v>
      </c>
      <c r="AM212">
        <v>16281</v>
      </c>
      <c r="AN212">
        <v>0</v>
      </c>
      <c r="AO212">
        <v>16281</v>
      </c>
      <c r="AP212">
        <v>8420</v>
      </c>
      <c r="AQ212">
        <v>8420</v>
      </c>
      <c r="AR212">
        <v>21150</v>
      </c>
      <c r="AS212">
        <v>8158.5</v>
      </c>
      <c r="AT212">
        <v>0</v>
      </c>
      <c r="AU212">
        <v>46196</v>
      </c>
      <c r="AV212">
        <v>46199</v>
      </c>
      <c r="AW212" t="s">
        <v>204</v>
      </c>
      <c r="AX212">
        <v>0</v>
      </c>
      <c r="AY212">
        <v>261.5</v>
      </c>
      <c r="AZ212" t="s">
        <v>313</v>
      </c>
      <c r="BD212">
        <v>1</v>
      </c>
      <c r="BE212">
        <v>4</v>
      </c>
      <c r="BF212" t="s">
        <v>314</v>
      </c>
      <c r="BG212" t="s">
        <v>153</v>
      </c>
      <c r="BH212">
        <v>16281</v>
      </c>
      <c r="BI212">
        <v>46206</v>
      </c>
      <c r="BJ212">
        <v>11</v>
      </c>
      <c r="BK212">
        <v>4869</v>
      </c>
      <c r="BL212">
        <v>46220</v>
      </c>
      <c r="BM212">
        <v>25</v>
      </c>
      <c r="BN212">
        <v>21150</v>
      </c>
      <c r="BO212">
        <v>0</v>
      </c>
      <c r="BP212" t="str">
        <f t="shared" si="3"/>
        <v>HAEMBB</v>
      </c>
    </row>
    <row r="213" spans="1:68" x14ac:dyDescent="0.25">
      <c r="A213" t="s">
        <v>1175</v>
      </c>
      <c r="B213" t="s">
        <v>1176</v>
      </c>
      <c r="C213" t="s">
        <v>1177</v>
      </c>
      <c r="D213">
        <v>25307.66</v>
      </c>
      <c r="E213">
        <v>30863</v>
      </c>
      <c r="F213">
        <v>2606</v>
      </c>
      <c r="G213" t="s">
        <v>152</v>
      </c>
      <c r="H213" t="s">
        <v>1178</v>
      </c>
      <c r="I213" t="s">
        <v>1179</v>
      </c>
      <c r="J213" t="s">
        <v>306</v>
      </c>
      <c r="K213" t="s">
        <v>307</v>
      </c>
      <c r="L213">
        <v>46210</v>
      </c>
      <c r="M213">
        <v>46211</v>
      </c>
      <c r="N213">
        <v>46211</v>
      </c>
      <c r="O213" t="s">
        <v>487</v>
      </c>
      <c r="P213" t="s">
        <v>204</v>
      </c>
      <c r="Q213" t="s">
        <v>309</v>
      </c>
      <c r="R213" t="s">
        <v>903</v>
      </c>
      <c r="S213" t="s">
        <v>1180</v>
      </c>
      <c r="T213" t="s">
        <v>885</v>
      </c>
      <c r="U213">
        <v>0</v>
      </c>
      <c r="V213">
        <v>26134</v>
      </c>
      <c r="W213">
        <v>0</v>
      </c>
      <c r="X213">
        <v>4729</v>
      </c>
      <c r="Y213">
        <v>30863</v>
      </c>
      <c r="Z213">
        <v>1500</v>
      </c>
      <c r="AA213">
        <v>46254</v>
      </c>
      <c r="AB213">
        <v>32363</v>
      </c>
      <c r="AC213">
        <v>19135.060000000001</v>
      </c>
      <c r="AD213">
        <v>0</v>
      </c>
      <c r="AE213">
        <v>0</v>
      </c>
      <c r="AF213">
        <v>0</v>
      </c>
      <c r="AG213">
        <v>0</v>
      </c>
      <c r="AH213" t="s">
        <v>312</v>
      </c>
      <c r="AI213" t="s">
        <v>312</v>
      </c>
      <c r="AJ213" t="s">
        <v>312</v>
      </c>
      <c r="AK213">
        <v>0</v>
      </c>
      <c r="AR213">
        <v>0</v>
      </c>
      <c r="AS213">
        <v>0</v>
      </c>
      <c r="AU213">
        <v>46231</v>
      </c>
      <c r="AV213">
        <v>46233</v>
      </c>
      <c r="AW213" t="s">
        <v>204</v>
      </c>
      <c r="AX213">
        <v>0</v>
      </c>
      <c r="AY213">
        <v>0</v>
      </c>
      <c r="AZ213" t="s">
        <v>313</v>
      </c>
      <c r="BD213">
        <v>20</v>
      </c>
      <c r="BE213">
        <v>22</v>
      </c>
      <c r="BF213" t="s">
        <v>314</v>
      </c>
      <c r="BG213" t="s">
        <v>153</v>
      </c>
      <c r="BH213">
        <v>0</v>
      </c>
      <c r="BK213">
        <v>0</v>
      </c>
      <c r="BN213">
        <v>0</v>
      </c>
      <c r="BO213">
        <v>32363</v>
      </c>
      <c r="BP213" t="str">
        <f t="shared" si="3"/>
        <v>TMEMBB</v>
      </c>
    </row>
    <row r="214" spans="1:68" x14ac:dyDescent="0.25">
      <c r="A214" t="s">
        <v>1181</v>
      </c>
      <c r="B214" t="s">
        <v>1182</v>
      </c>
      <c r="C214" t="s">
        <v>1183</v>
      </c>
      <c r="D214">
        <v>4187.74</v>
      </c>
      <c r="E214">
        <v>5107</v>
      </c>
      <c r="F214">
        <v>2606</v>
      </c>
      <c r="G214" t="s">
        <v>152</v>
      </c>
      <c r="H214" t="s">
        <v>1184</v>
      </c>
      <c r="I214" t="s">
        <v>1179</v>
      </c>
      <c r="J214" t="s">
        <v>306</v>
      </c>
      <c r="K214" t="s">
        <v>307</v>
      </c>
      <c r="L214">
        <v>46230</v>
      </c>
      <c r="M214">
        <v>46230</v>
      </c>
      <c r="N214">
        <v>46230</v>
      </c>
      <c r="O214" t="s">
        <v>487</v>
      </c>
      <c r="P214" t="s">
        <v>204</v>
      </c>
      <c r="Q214" t="s">
        <v>309</v>
      </c>
      <c r="R214" t="s">
        <v>903</v>
      </c>
      <c r="S214" t="s">
        <v>903</v>
      </c>
      <c r="T214" t="s">
        <v>1070</v>
      </c>
      <c r="U214">
        <v>0</v>
      </c>
      <c r="V214">
        <v>5107</v>
      </c>
      <c r="W214">
        <v>0</v>
      </c>
      <c r="X214">
        <v>0</v>
      </c>
      <c r="Y214">
        <v>5107</v>
      </c>
      <c r="Z214">
        <v>0</v>
      </c>
      <c r="AA214" t="s">
        <v>204</v>
      </c>
      <c r="AB214">
        <v>5107</v>
      </c>
      <c r="AC214">
        <v>3166.34</v>
      </c>
      <c r="AD214">
        <v>0</v>
      </c>
      <c r="AE214">
        <v>0</v>
      </c>
      <c r="AF214">
        <v>0</v>
      </c>
      <c r="AG214">
        <v>0</v>
      </c>
      <c r="AH214" t="s">
        <v>312</v>
      </c>
      <c r="AI214" t="s">
        <v>312</v>
      </c>
      <c r="AJ214" t="s">
        <v>312</v>
      </c>
      <c r="AK214">
        <v>0</v>
      </c>
      <c r="AR214">
        <v>0</v>
      </c>
      <c r="AS214">
        <v>0</v>
      </c>
      <c r="AU214">
        <v>46237</v>
      </c>
      <c r="AV214">
        <v>46237</v>
      </c>
      <c r="AW214" t="s">
        <v>204</v>
      </c>
      <c r="AX214">
        <v>0</v>
      </c>
      <c r="AY214">
        <v>0</v>
      </c>
      <c r="AZ214" t="s">
        <v>313</v>
      </c>
      <c r="BD214">
        <v>7</v>
      </c>
      <c r="BE214">
        <v>7</v>
      </c>
      <c r="BF214" t="s">
        <v>314</v>
      </c>
      <c r="BG214" t="s">
        <v>157</v>
      </c>
      <c r="BH214">
        <v>0</v>
      </c>
      <c r="BK214">
        <v>0</v>
      </c>
      <c r="BN214">
        <v>0</v>
      </c>
      <c r="BO214">
        <v>5107</v>
      </c>
      <c r="BP214" t="str">
        <f t="shared" si="3"/>
        <v>TMEBATERRY</v>
      </c>
    </row>
    <row r="215" spans="1:68" x14ac:dyDescent="0.25">
      <c r="A215" t="s">
        <v>1185</v>
      </c>
      <c r="B215" t="s">
        <v>1186</v>
      </c>
      <c r="C215" t="s">
        <v>1187</v>
      </c>
      <c r="D215">
        <v>21533.200000000001</v>
      </c>
      <c r="E215">
        <v>26260</v>
      </c>
      <c r="F215">
        <v>2606</v>
      </c>
      <c r="G215" t="s">
        <v>152</v>
      </c>
      <c r="H215" t="s">
        <v>1178</v>
      </c>
      <c r="I215" t="s">
        <v>1188</v>
      </c>
      <c r="J215" t="s">
        <v>306</v>
      </c>
      <c r="K215" t="s">
        <v>307</v>
      </c>
      <c r="L215">
        <v>46190</v>
      </c>
      <c r="M215">
        <v>46192</v>
      </c>
      <c r="N215">
        <v>46192</v>
      </c>
      <c r="O215" t="s">
        <v>487</v>
      </c>
      <c r="P215" t="s">
        <v>204</v>
      </c>
      <c r="Q215" t="s">
        <v>309</v>
      </c>
      <c r="R215" t="s">
        <v>903</v>
      </c>
      <c r="S215" t="s">
        <v>1180</v>
      </c>
      <c r="T215" t="s">
        <v>822</v>
      </c>
      <c r="U215">
        <v>0</v>
      </c>
      <c r="V215">
        <v>21531</v>
      </c>
      <c r="W215">
        <v>0</v>
      </c>
      <c r="X215">
        <v>4729</v>
      </c>
      <c r="Y215">
        <v>26260</v>
      </c>
      <c r="Z215">
        <v>1500</v>
      </c>
      <c r="AA215">
        <v>46254</v>
      </c>
      <c r="AB215">
        <v>27760</v>
      </c>
      <c r="AC215">
        <v>16281.2</v>
      </c>
      <c r="AD215">
        <v>0</v>
      </c>
      <c r="AE215">
        <v>0</v>
      </c>
      <c r="AF215">
        <v>0</v>
      </c>
      <c r="AG215">
        <v>0</v>
      </c>
      <c r="AH215" t="s">
        <v>312</v>
      </c>
      <c r="AI215" t="s">
        <v>312</v>
      </c>
      <c r="AJ215" t="s">
        <v>312</v>
      </c>
      <c r="AK215">
        <v>0</v>
      </c>
      <c r="AL215">
        <v>26260</v>
      </c>
      <c r="AM215">
        <v>15071.699999999997</v>
      </c>
      <c r="AN215">
        <v>0</v>
      </c>
      <c r="AO215">
        <v>15071.699999999997</v>
      </c>
      <c r="AP215">
        <v>0</v>
      </c>
      <c r="AQ215">
        <v>0</v>
      </c>
      <c r="AR215">
        <v>15071.7</v>
      </c>
      <c r="AS215">
        <v>0</v>
      </c>
      <c r="AT215">
        <v>5408</v>
      </c>
      <c r="AU215">
        <v>46195</v>
      </c>
      <c r="AV215">
        <v>46196</v>
      </c>
      <c r="AW215" t="s">
        <v>204</v>
      </c>
      <c r="AX215">
        <v>11188.3</v>
      </c>
      <c r="AY215">
        <v>0</v>
      </c>
      <c r="AZ215" t="s">
        <v>313</v>
      </c>
      <c r="BD215">
        <v>3</v>
      </c>
      <c r="BE215">
        <v>4</v>
      </c>
      <c r="BF215" t="s">
        <v>314</v>
      </c>
      <c r="BG215" t="s">
        <v>153</v>
      </c>
      <c r="BH215">
        <v>19800.699999999997</v>
      </c>
      <c r="BI215">
        <v>46213</v>
      </c>
      <c r="BJ215">
        <v>21</v>
      </c>
      <c r="BK215">
        <v>6459.3000000000011</v>
      </c>
      <c r="BL215">
        <v>46255</v>
      </c>
      <c r="BM215">
        <v>63</v>
      </c>
      <c r="BN215">
        <v>26260</v>
      </c>
      <c r="BO215">
        <v>1500</v>
      </c>
      <c r="BP215" t="str">
        <f t="shared" si="3"/>
        <v>TMEMBB</v>
      </c>
    </row>
    <row r="216" spans="1:68" x14ac:dyDescent="0.25">
      <c r="A216" t="s">
        <v>1189</v>
      </c>
      <c r="B216" t="s">
        <v>1190</v>
      </c>
      <c r="C216" t="s">
        <v>1191</v>
      </c>
      <c r="D216">
        <v>21296.22</v>
      </c>
      <c r="E216">
        <v>25971</v>
      </c>
      <c r="F216">
        <v>2606</v>
      </c>
      <c r="G216" t="s">
        <v>152</v>
      </c>
      <c r="H216" t="s">
        <v>1178</v>
      </c>
      <c r="I216" t="s">
        <v>1192</v>
      </c>
      <c r="J216" t="s">
        <v>306</v>
      </c>
      <c r="K216" t="s">
        <v>307</v>
      </c>
      <c r="L216">
        <v>46204</v>
      </c>
      <c r="M216">
        <v>46208</v>
      </c>
      <c r="N216">
        <v>46208</v>
      </c>
      <c r="O216" t="s">
        <v>487</v>
      </c>
      <c r="P216" t="s">
        <v>204</v>
      </c>
      <c r="Q216" t="s">
        <v>309</v>
      </c>
      <c r="R216" t="s">
        <v>903</v>
      </c>
      <c r="S216" t="s">
        <v>1180</v>
      </c>
      <c r="T216" t="s">
        <v>880</v>
      </c>
      <c r="U216">
        <v>0</v>
      </c>
      <c r="V216">
        <v>21242</v>
      </c>
      <c r="W216">
        <v>0</v>
      </c>
      <c r="X216">
        <v>4729</v>
      </c>
      <c r="Y216">
        <v>25971</v>
      </c>
      <c r="Z216">
        <v>1500</v>
      </c>
      <c r="AA216">
        <v>46254</v>
      </c>
      <c r="AB216">
        <v>27471</v>
      </c>
      <c r="AC216">
        <v>16102.02</v>
      </c>
      <c r="AD216">
        <v>0</v>
      </c>
      <c r="AE216">
        <v>0</v>
      </c>
      <c r="AF216">
        <v>0</v>
      </c>
      <c r="AG216">
        <v>0</v>
      </c>
      <c r="AH216" t="s">
        <v>312</v>
      </c>
      <c r="AI216" t="s">
        <v>312</v>
      </c>
      <c r="AJ216" t="s">
        <v>312</v>
      </c>
      <c r="AK216">
        <v>0</v>
      </c>
      <c r="AL216">
        <v>25971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46216</v>
      </c>
      <c r="AV216">
        <v>46217</v>
      </c>
      <c r="AW216" t="s">
        <v>204</v>
      </c>
      <c r="AX216">
        <v>25971</v>
      </c>
      <c r="AY216">
        <v>0</v>
      </c>
      <c r="AZ216" t="s">
        <v>313</v>
      </c>
      <c r="BD216">
        <v>8</v>
      </c>
      <c r="BE216">
        <v>9</v>
      </c>
      <c r="BF216" t="s">
        <v>314</v>
      </c>
      <c r="BG216" t="s">
        <v>153</v>
      </c>
      <c r="BH216">
        <v>19598.399999999998</v>
      </c>
      <c r="BI216">
        <v>46234</v>
      </c>
      <c r="BJ216">
        <v>26</v>
      </c>
      <c r="BK216">
        <v>6372.6</v>
      </c>
      <c r="BL216">
        <v>46255</v>
      </c>
      <c r="BM216">
        <v>47</v>
      </c>
      <c r="BN216">
        <v>25971</v>
      </c>
      <c r="BO216">
        <v>1500</v>
      </c>
      <c r="BP216" t="str">
        <f t="shared" si="3"/>
        <v>TMEMBB</v>
      </c>
    </row>
    <row r="217" spans="1:68" x14ac:dyDescent="0.25">
      <c r="A217" t="s">
        <v>1193</v>
      </c>
      <c r="B217" t="s">
        <v>1194</v>
      </c>
      <c r="C217" t="s">
        <v>1195</v>
      </c>
      <c r="D217">
        <v>2848.6800000000003</v>
      </c>
      <c r="E217">
        <v>3474</v>
      </c>
      <c r="F217">
        <v>2607</v>
      </c>
      <c r="G217" t="s">
        <v>152</v>
      </c>
      <c r="H217" t="s">
        <v>1178</v>
      </c>
      <c r="I217" t="s">
        <v>1196</v>
      </c>
      <c r="J217" t="s">
        <v>306</v>
      </c>
      <c r="K217" t="s">
        <v>307</v>
      </c>
      <c r="L217">
        <v>46238</v>
      </c>
      <c r="M217">
        <v>46240</v>
      </c>
      <c r="N217">
        <v>46240</v>
      </c>
      <c r="O217" t="s">
        <v>487</v>
      </c>
      <c r="P217" t="s">
        <v>204</v>
      </c>
      <c r="Q217" t="s">
        <v>309</v>
      </c>
      <c r="R217" t="s">
        <v>903</v>
      </c>
      <c r="S217" t="s">
        <v>1180</v>
      </c>
      <c r="T217" t="s">
        <v>913</v>
      </c>
      <c r="U217">
        <v>0</v>
      </c>
      <c r="V217">
        <v>22054</v>
      </c>
      <c r="W217">
        <v>0</v>
      </c>
      <c r="X217">
        <v>4729</v>
      </c>
      <c r="Y217">
        <v>26783</v>
      </c>
      <c r="Z217">
        <v>0</v>
      </c>
      <c r="AA217" t="s">
        <v>204</v>
      </c>
      <c r="AB217">
        <v>26783</v>
      </c>
      <c r="AC217">
        <v>2153.88</v>
      </c>
      <c r="AE217">
        <v>0</v>
      </c>
      <c r="AU217">
        <v>46239</v>
      </c>
      <c r="AV217">
        <v>46240</v>
      </c>
      <c r="AW217" t="s">
        <v>204</v>
      </c>
      <c r="AX217">
        <v>0</v>
      </c>
      <c r="AY217">
        <v>0</v>
      </c>
      <c r="AZ217" t="s">
        <v>313</v>
      </c>
      <c r="BD217">
        <v>-1</v>
      </c>
      <c r="BE217">
        <v>0</v>
      </c>
      <c r="BF217" t="s">
        <v>314</v>
      </c>
      <c r="BG217" t="s">
        <v>153</v>
      </c>
      <c r="BH217">
        <v>17735</v>
      </c>
      <c r="BI217">
        <v>46250</v>
      </c>
      <c r="BJ217">
        <v>10</v>
      </c>
      <c r="BK217">
        <v>5574.0000000000009</v>
      </c>
      <c r="BL217">
        <v>46262</v>
      </c>
      <c r="BM217">
        <v>22</v>
      </c>
      <c r="BN217">
        <v>23309</v>
      </c>
      <c r="BO217">
        <v>3474</v>
      </c>
      <c r="BP217" t="str">
        <f t="shared" si="3"/>
        <v>TMEMBB</v>
      </c>
    </row>
    <row r="218" spans="1:68" x14ac:dyDescent="0.25">
      <c r="A218" t="s">
        <v>1197</v>
      </c>
      <c r="B218" t="s">
        <v>1198</v>
      </c>
      <c r="C218" t="s">
        <v>1199</v>
      </c>
      <c r="D218">
        <v>22212.16</v>
      </c>
      <c r="E218">
        <v>27088</v>
      </c>
      <c r="F218">
        <v>2607</v>
      </c>
      <c r="G218" t="s">
        <v>152</v>
      </c>
      <c r="H218" t="s">
        <v>1178</v>
      </c>
      <c r="I218" t="s">
        <v>1200</v>
      </c>
      <c r="J218" t="s">
        <v>306</v>
      </c>
      <c r="K218" t="s">
        <v>307</v>
      </c>
      <c r="L218">
        <v>46199</v>
      </c>
      <c r="M218">
        <v>46202</v>
      </c>
      <c r="N218">
        <v>46202</v>
      </c>
      <c r="O218" t="s">
        <v>487</v>
      </c>
      <c r="P218" t="s">
        <v>204</v>
      </c>
      <c r="Q218" t="s">
        <v>309</v>
      </c>
      <c r="R218" t="s">
        <v>903</v>
      </c>
      <c r="S218" t="s">
        <v>1180</v>
      </c>
      <c r="T218" t="s">
        <v>880</v>
      </c>
      <c r="U218">
        <v>0</v>
      </c>
      <c r="V218">
        <v>22359</v>
      </c>
      <c r="W218">
        <v>0</v>
      </c>
      <c r="X218">
        <v>4729</v>
      </c>
      <c r="Y218">
        <v>27088</v>
      </c>
      <c r="Z218">
        <v>0</v>
      </c>
      <c r="AA218" t="s">
        <v>204</v>
      </c>
      <c r="AB218">
        <v>27088</v>
      </c>
      <c r="AC218">
        <v>16794.560000000001</v>
      </c>
      <c r="AD218">
        <v>0</v>
      </c>
      <c r="AE218">
        <v>0</v>
      </c>
      <c r="AF218">
        <v>0</v>
      </c>
      <c r="AG218">
        <v>0</v>
      </c>
      <c r="AH218" t="s">
        <v>312</v>
      </c>
      <c r="AI218" t="s">
        <v>312</v>
      </c>
      <c r="AJ218" t="s">
        <v>312</v>
      </c>
      <c r="AK218">
        <v>0</v>
      </c>
      <c r="AL218">
        <v>27088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5408</v>
      </c>
      <c r="AU218">
        <v>46204</v>
      </c>
      <c r="AV218">
        <v>46205</v>
      </c>
      <c r="AW218" t="s">
        <v>204</v>
      </c>
      <c r="AX218">
        <v>27088</v>
      </c>
      <c r="AY218">
        <v>0</v>
      </c>
      <c r="AZ218" t="s">
        <v>313</v>
      </c>
      <c r="BD218">
        <v>2</v>
      </c>
      <c r="BE218">
        <v>3</v>
      </c>
      <c r="BF218" t="s">
        <v>314</v>
      </c>
      <c r="BG218" t="s">
        <v>153</v>
      </c>
      <c r="BH218">
        <v>20380.299999999996</v>
      </c>
      <c r="BI218">
        <v>46234</v>
      </c>
      <c r="BJ218">
        <v>32</v>
      </c>
      <c r="BK218">
        <v>6707.7000000000007</v>
      </c>
      <c r="BL218">
        <v>46255</v>
      </c>
      <c r="BM218">
        <v>53</v>
      </c>
      <c r="BN218">
        <v>27087.999999999996</v>
      </c>
      <c r="BO218">
        <v>0</v>
      </c>
      <c r="BP218" t="str">
        <f t="shared" si="3"/>
        <v>TMEMBB</v>
      </c>
    </row>
    <row r="219" spans="1:68" x14ac:dyDescent="0.25">
      <c r="A219" t="s">
        <v>1201</v>
      </c>
      <c r="B219" t="s">
        <v>1202</v>
      </c>
      <c r="C219" t="s">
        <v>1203</v>
      </c>
      <c r="D219">
        <v>24188.36</v>
      </c>
      <c r="E219">
        <v>29498</v>
      </c>
      <c r="F219">
        <v>2606</v>
      </c>
      <c r="G219" t="s">
        <v>159</v>
      </c>
      <c r="H219" t="s">
        <v>368</v>
      </c>
      <c r="I219" t="s">
        <v>1204</v>
      </c>
      <c r="J219" t="s">
        <v>306</v>
      </c>
      <c r="K219" t="s">
        <v>307</v>
      </c>
      <c r="L219">
        <v>46237</v>
      </c>
      <c r="M219">
        <v>46237</v>
      </c>
      <c r="N219">
        <v>46237</v>
      </c>
      <c r="O219" t="s">
        <v>318</v>
      </c>
      <c r="P219" t="s">
        <v>204</v>
      </c>
      <c r="Q219" t="s">
        <v>309</v>
      </c>
      <c r="R219" t="s">
        <v>310</v>
      </c>
      <c r="S219" t="s">
        <v>209</v>
      </c>
      <c r="T219" t="s">
        <v>913</v>
      </c>
      <c r="U219">
        <v>779</v>
      </c>
      <c r="V219">
        <v>12417</v>
      </c>
      <c r="W219">
        <v>0</v>
      </c>
      <c r="X219">
        <v>1553</v>
      </c>
      <c r="Y219">
        <v>14749</v>
      </c>
      <c r="Z219">
        <v>0</v>
      </c>
      <c r="AA219" t="s">
        <v>204</v>
      </c>
      <c r="AB219">
        <v>14749</v>
      </c>
      <c r="AC219">
        <v>18288.759999999998</v>
      </c>
      <c r="AD219">
        <v>300</v>
      </c>
      <c r="AE219">
        <v>300</v>
      </c>
      <c r="AF219">
        <v>300</v>
      </c>
      <c r="AG219">
        <v>0</v>
      </c>
      <c r="AH219" t="s">
        <v>312</v>
      </c>
      <c r="AI219">
        <v>0</v>
      </c>
      <c r="AJ219">
        <v>0</v>
      </c>
      <c r="AK219">
        <v>0</v>
      </c>
      <c r="AR219">
        <v>0</v>
      </c>
      <c r="AS219">
        <v>0</v>
      </c>
      <c r="AU219">
        <v>46240</v>
      </c>
      <c r="AV219">
        <v>46250</v>
      </c>
      <c r="AW219" t="s">
        <v>204</v>
      </c>
      <c r="AX219">
        <v>0</v>
      </c>
      <c r="AY219">
        <v>300</v>
      </c>
      <c r="AZ219" t="s">
        <v>313</v>
      </c>
      <c r="BD219">
        <v>3</v>
      </c>
      <c r="BE219">
        <v>13</v>
      </c>
      <c r="BF219" t="s">
        <v>314</v>
      </c>
      <c r="BG219" t="s">
        <v>153</v>
      </c>
      <c r="BH219">
        <v>10244.9</v>
      </c>
      <c r="BI219">
        <v>46250</v>
      </c>
      <c r="BJ219">
        <v>13</v>
      </c>
      <c r="BK219">
        <v>0</v>
      </c>
      <c r="BN219">
        <v>10244.9</v>
      </c>
      <c r="BO219">
        <v>4504.1000000000004</v>
      </c>
      <c r="BP219" t="str">
        <f t="shared" si="3"/>
        <v>HAEMBB</v>
      </c>
    </row>
    <row r="220" spans="1:68" x14ac:dyDescent="0.25">
      <c r="A220" t="s">
        <v>1205</v>
      </c>
      <c r="B220" t="s">
        <v>1206</v>
      </c>
      <c r="C220" t="s">
        <v>218</v>
      </c>
      <c r="D220">
        <v>18740.28</v>
      </c>
      <c r="E220">
        <v>22854</v>
      </c>
      <c r="F220">
        <v>2606</v>
      </c>
      <c r="G220" t="s">
        <v>159</v>
      </c>
      <c r="H220" t="s">
        <v>1082</v>
      </c>
      <c r="I220" t="s">
        <v>1207</v>
      </c>
      <c r="J220" t="s">
        <v>306</v>
      </c>
      <c r="K220" t="s">
        <v>307</v>
      </c>
      <c r="L220">
        <v>46243</v>
      </c>
      <c r="M220">
        <v>46243</v>
      </c>
      <c r="N220">
        <v>46243</v>
      </c>
      <c r="O220" t="s">
        <v>1208</v>
      </c>
      <c r="P220" t="s">
        <v>1209</v>
      </c>
      <c r="Q220" t="s">
        <v>328</v>
      </c>
      <c r="R220" t="s">
        <v>310</v>
      </c>
      <c r="S220" t="s">
        <v>206</v>
      </c>
      <c r="T220" t="s">
        <v>913</v>
      </c>
      <c r="U220">
        <v>779</v>
      </c>
      <c r="V220">
        <v>17934</v>
      </c>
      <c r="W220">
        <v>0</v>
      </c>
      <c r="X220">
        <v>4141</v>
      </c>
      <c r="Y220">
        <v>22854</v>
      </c>
      <c r="Z220">
        <v>0</v>
      </c>
      <c r="AA220" t="s">
        <v>204</v>
      </c>
      <c r="AB220">
        <v>22854</v>
      </c>
      <c r="AC220">
        <v>14169.48</v>
      </c>
      <c r="AE220">
        <v>9500</v>
      </c>
      <c r="AU220">
        <v>46247</v>
      </c>
      <c r="AV220">
        <v>46255</v>
      </c>
      <c r="AW220" t="s">
        <v>204</v>
      </c>
      <c r="AX220">
        <v>0</v>
      </c>
      <c r="AY220">
        <v>0</v>
      </c>
      <c r="AZ220" t="s">
        <v>313</v>
      </c>
      <c r="BD220">
        <v>4</v>
      </c>
      <c r="BE220">
        <v>12</v>
      </c>
      <c r="BF220" t="s">
        <v>314</v>
      </c>
      <c r="BG220" t="s">
        <v>153</v>
      </c>
      <c r="BH220">
        <v>17473.8</v>
      </c>
      <c r="BI220">
        <v>46250</v>
      </c>
      <c r="BJ220">
        <v>7</v>
      </c>
      <c r="BK220">
        <v>0</v>
      </c>
      <c r="BN220">
        <v>17473.8</v>
      </c>
      <c r="BO220">
        <v>5380.2000000000007</v>
      </c>
      <c r="BP220" t="str">
        <f t="shared" si="3"/>
        <v>HAEMBB</v>
      </c>
    </row>
    <row r="221" spans="1:68" x14ac:dyDescent="0.25">
      <c r="A221" t="s">
        <v>1210</v>
      </c>
      <c r="B221" t="s">
        <v>1211</v>
      </c>
      <c r="C221" t="s">
        <v>1212</v>
      </c>
      <c r="D221">
        <v>23336.38</v>
      </c>
      <c r="E221">
        <v>28459</v>
      </c>
      <c r="F221">
        <v>2606</v>
      </c>
      <c r="G221" t="s">
        <v>159</v>
      </c>
      <c r="H221" t="s">
        <v>1082</v>
      </c>
      <c r="I221" t="s">
        <v>1213</v>
      </c>
      <c r="J221" t="s">
        <v>306</v>
      </c>
      <c r="K221" t="s">
        <v>307</v>
      </c>
      <c r="L221">
        <v>46230</v>
      </c>
      <c r="M221">
        <v>46230</v>
      </c>
      <c r="N221">
        <v>46230</v>
      </c>
      <c r="O221" t="s">
        <v>1208</v>
      </c>
      <c r="P221" t="s">
        <v>1209</v>
      </c>
      <c r="Q221" t="s">
        <v>328</v>
      </c>
      <c r="R221" t="s">
        <v>310</v>
      </c>
      <c r="S221" t="s">
        <v>209</v>
      </c>
      <c r="T221" t="s">
        <v>1070</v>
      </c>
      <c r="U221">
        <v>779</v>
      </c>
      <c r="V221">
        <v>23539</v>
      </c>
      <c r="W221">
        <v>0</v>
      </c>
      <c r="X221">
        <v>4141</v>
      </c>
      <c r="Y221">
        <v>28459</v>
      </c>
      <c r="Z221">
        <v>0</v>
      </c>
      <c r="AA221" t="s">
        <v>204</v>
      </c>
      <c r="AB221">
        <v>28459</v>
      </c>
      <c r="AC221">
        <v>17644.579999999998</v>
      </c>
      <c r="AD221">
        <v>12650</v>
      </c>
      <c r="AE221">
        <v>12050</v>
      </c>
      <c r="AF221">
        <v>300</v>
      </c>
      <c r="AG221">
        <v>300</v>
      </c>
      <c r="AH221" t="s">
        <v>312</v>
      </c>
      <c r="AI221" t="s">
        <v>312</v>
      </c>
      <c r="AJ221">
        <v>0</v>
      </c>
      <c r="AK221">
        <v>0</v>
      </c>
      <c r="AR221">
        <v>0</v>
      </c>
      <c r="AS221">
        <v>0</v>
      </c>
      <c r="AU221">
        <v>46241</v>
      </c>
      <c r="AV221">
        <v>46242</v>
      </c>
      <c r="AW221" t="s">
        <v>204</v>
      </c>
      <c r="AX221">
        <v>0</v>
      </c>
      <c r="AY221">
        <v>12650</v>
      </c>
      <c r="AZ221" t="s">
        <v>313</v>
      </c>
      <c r="BD221">
        <v>11</v>
      </c>
      <c r="BE221">
        <v>12</v>
      </c>
      <c r="BF221" t="s">
        <v>314</v>
      </c>
      <c r="BG221" t="s">
        <v>153</v>
      </c>
      <c r="BH221">
        <v>21397.299999999996</v>
      </c>
      <c r="BI221">
        <v>46241</v>
      </c>
      <c r="BJ221">
        <v>11</v>
      </c>
      <c r="BK221">
        <v>7061.7</v>
      </c>
      <c r="BL221">
        <v>46262</v>
      </c>
      <c r="BM221">
        <v>32</v>
      </c>
      <c r="BN221">
        <v>28458.999999999996</v>
      </c>
      <c r="BO221">
        <v>0</v>
      </c>
      <c r="BP221" t="str">
        <f t="shared" si="3"/>
        <v>HAEMBB</v>
      </c>
    </row>
    <row r="222" spans="1:68" x14ac:dyDescent="0.25">
      <c r="A222" t="s">
        <v>1214</v>
      </c>
      <c r="B222" t="s">
        <v>1215</v>
      </c>
      <c r="C222" t="s">
        <v>1216</v>
      </c>
      <c r="D222">
        <v>13902.28</v>
      </c>
      <c r="E222">
        <v>16954</v>
      </c>
      <c r="F222">
        <v>2606</v>
      </c>
      <c r="G222" t="s">
        <v>159</v>
      </c>
      <c r="H222" t="s">
        <v>1082</v>
      </c>
      <c r="I222" t="s">
        <v>1217</v>
      </c>
      <c r="J222" t="s">
        <v>306</v>
      </c>
      <c r="K222" t="s">
        <v>307</v>
      </c>
      <c r="L222">
        <v>46227</v>
      </c>
      <c r="M222">
        <v>46227</v>
      </c>
      <c r="N222">
        <v>46227</v>
      </c>
      <c r="O222" t="s">
        <v>326</v>
      </c>
      <c r="P222" t="s">
        <v>327</v>
      </c>
      <c r="Q222" t="s">
        <v>328</v>
      </c>
      <c r="R222" t="s">
        <v>310</v>
      </c>
      <c r="S222" t="s">
        <v>209</v>
      </c>
      <c r="T222" t="s">
        <v>976</v>
      </c>
      <c r="U222">
        <v>779</v>
      </c>
      <c r="V222">
        <v>12034</v>
      </c>
      <c r="W222">
        <v>0</v>
      </c>
      <c r="X222">
        <v>4141</v>
      </c>
      <c r="Y222">
        <v>16954</v>
      </c>
      <c r="Z222">
        <v>0</v>
      </c>
      <c r="AA222" t="s">
        <v>204</v>
      </c>
      <c r="AB222">
        <v>16954</v>
      </c>
      <c r="AC222">
        <v>10511.48</v>
      </c>
      <c r="AD222">
        <v>7560</v>
      </c>
      <c r="AE222">
        <v>6960</v>
      </c>
      <c r="AF222">
        <v>300</v>
      </c>
      <c r="AG222">
        <v>300</v>
      </c>
      <c r="AH222" t="s">
        <v>312</v>
      </c>
      <c r="AI222" t="s">
        <v>312</v>
      </c>
      <c r="AJ222">
        <v>0</v>
      </c>
      <c r="AK222">
        <v>0</v>
      </c>
      <c r="AR222">
        <v>0</v>
      </c>
      <c r="AS222">
        <v>0</v>
      </c>
      <c r="AU222">
        <v>46234</v>
      </c>
      <c r="AV222">
        <v>46239</v>
      </c>
      <c r="AW222" t="s">
        <v>204</v>
      </c>
      <c r="AX222">
        <v>0</v>
      </c>
      <c r="AY222">
        <v>7560</v>
      </c>
      <c r="AZ222" t="s">
        <v>313</v>
      </c>
      <c r="BD222">
        <v>7</v>
      </c>
      <c r="BE222">
        <v>12</v>
      </c>
      <c r="BF222" t="s">
        <v>314</v>
      </c>
      <c r="BG222" t="s">
        <v>153</v>
      </c>
      <c r="BH222">
        <v>13343.8</v>
      </c>
      <c r="BI222">
        <v>46234</v>
      </c>
      <c r="BJ222">
        <v>7</v>
      </c>
      <c r="BK222">
        <v>3610.2</v>
      </c>
      <c r="BL222">
        <v>46255</v>
      </c>
      <c r="BM222">
        <v>28</v>
      </c>
      <c r="BN222">
        <v>16954</v>
      </c>
      <c r="BO222">
        <v>0</v>
      </c>
      <c r="BP222" t="str">
        <f t="shared" si="3"/>
        <v>HAEMBB</v>
      </c>
    </row>
    <row r="223" spans="1:68" x14ac:dyDescent="0.25">
      <c r="A223" t="s">
        <v>1218</v>
      </c>
      <c r="B223" t="s">
        <v>1219</v>
      </c>
      <c r="C223" t="s">
        <v>1220</v>
      </c>
      <c r="D223">
        <v>17763.66</v>
      </c>
      <c r="E223">
        <v>21663</v>
      </c>
      <c r="F223">
        <v>2606</v>
      </c>
      <c r="G223" t="s">
        <v>159</v>
      </c>
      <c r="H223" t="s">
        <v>1082</v>
      </c>
      <c r="I223" t="s">
        <v>1221</v>
      </c>
      <c r="J223" t="s">
        <v>306</v>
      </c>
      <c r="K223" t="s">
        <v>307</v>
      </c>
      <c r="L223">
        <v>46232</v>
      </c>
      <c r="M223">
        <v>46232</v>
      </c>
      <c r="N223">
        <v>46232</v>
      </c>
      <c r="O223" t="s">
        <v>1208</v>
      </c>
      <c r="P223" t="s">
        <v>1209</v>
      </c>
      <c r="Q223" t="s">
        <v>328</v>
      </c>
      <c r="R223" t="s">
        <v>310</v>
      </c>
      <c r="S223" t="s">
        <v>209</v>
      </c>
      <c r="T223" t="s">
        <v>1070</v>
      </c>
      <c r="U223">
        <v>779</v>
      </c>
      <c r="V223">
        <v>16743</v>
      </c>
      <c r="W223">
        <v>0</v>
      </c>
      <c r="X223">
        <v>4141</v>
      </c>
      <c r="Y223">
        <v>21663</v>
      </c>
      <c r="Z223">
        <v>0</v>
      </c>
      <c r="AA223" t="s">
        <v>204</v>
      </c>
      <c r="AB223">
        <v>21663</v>
      </c>
      <c r="AC223">
        <v>13431.06</v>
      </c>
      <c r="AD223">
        <v>9760</v>
      </c>
      <c r="AE223">
        <v>9160</v>
      </c>
      <c r="AF223">
        <v>300</v>
      </c>
      <c r="AG223">
        <v>300</v>
      </c>
      <c r="AH223" t="s">
        <v>312</v>
      </c>
      <c r="AI223" t="s">
        <v>312</v>
      </c>
      <c r="AJ223">
        <v>0</v>
      </c>
      <c r="AK223">
        <v>0</v>
      </c>
      <c r="AR223">
        <v>0</v>
      </c>
      <c r="AS223">
        <v>0</v>
      </c>
      <c r="AU223">
        <v>46238</v>
      </c>
      <c r="AV223">
        <v>46243</v>
      </c>
      <c r="AW223" t="s">
        <v>204</v>
      </c>
      <c r="AX223">
        <v>0</v>
      </c>
      <c r="AY223">
        <v>9760</v>
      </c>
      <c r="AZ223" t="s">
        <v>313</v>
      </c>
      <c r="BD223">
        <v>6</v>
      </c>
      <c r="BE223">
        <v>11</v>
      </c>
      <c r="BF223" t="s">
        <v>314</v>
      </c>
      <c r="BG223" t="s">
        <v>153</v>
      </c>
      <c r="BH223">
        <v>16640.099999999999</v>
      </c>
      <c r="BI223">
        <v>46241</v>
      </c>
      <c r="BJ223">
        <v>9</v>
      </c>
      <c r="BK223">
        <v>5022.8999999999996</v>
      </c>
      <c r="BL223">
        <v>46255</v>
      </c>
      <c r="BM223">
        <v>23</v>
      </c>
      <c r="BN223">
        <v>21663</v>
      </c>
      <c r="BO223">
        <v>0</v>
      </c>
      <c r="BP223" t="str">
        <f t="shared" si="3"/>
        <v>HAEMBB</v>
      </c>
    </row>
    <row r="224" spans="1:68" x14ac:dyDescent="0.25">
      <c r="A224" t="s">
        <v>1222</v>
      </c>
      <c r="B224" t="s">
        <v>1223</v>
      </c>
      <c r="C224" t="s">
        <v>1224</v>
      </c>
      <c r="D224">
        <v>16321.28</v>
      </c>
      <c r="E224">
        <v>19904</v>
      </c>
      <c r="F224">
        <v>2606</v>
      </c>
      <c r="G224" t="s">
        <v>159</v>
      </c>
      <c r="H224" t="s">
        <v>1082</v>
      </c>
      <c r="I224" t="s">
        <v>1225</v>
      </c>
      <c r="J224" t="s">
        <v>306</v>
      </c>
      <c r="K224" t="s">
        <v>307</v>
      </c>
      <c r="L224">
        <v>46232</v>
      </c>
      <c r="M224">
        <v>46232</v>
      </c>
      <c r="N224">
        <v>46232</v>
      </c>
      <c r="O224" t="s">
        <v>938</v>
      </c>
      <c r="P224" t="s">
        <v>939</v>
      </c>
      <c r="Q224" t="s">
        <v>328</v>
      </c>
      <c r="R224" t="s">
        <v>310</v>
      </c>
      <c r="S224" t="s">
        <v>209</v>
      </c>
      <c r="T224" t="s">
        <v>1070</v>
      </c>
      <c r="U224">
        <v>779</v>
      </c>
      <c r="V224">
        <v>14984</v>
      </c>
      <c r="W224">
        <v>0</v>
      </c>
      <c r="X224">
        <v>4141</v>
      </c>
      <c r="Y224">
        <v>19904</v>
      </c>
      <c r="Z224">
        <v>0</v>
      </c>
      <c r="AA224" t="s">
        <v>204</v>
      </c>
      <c r="AB224">
        <v>19904</v>
      </c>
      <c r="AC224">
        <v>12340.48</v>
      </c>
      <c r="AD224">
        <v>9430</v>
      </c>
      <c r="AE224">
        <v>8830</v>
      </c>
      <c r="AF224">
        <v>300</v>
      </c>
      <c r="AG224">
        <v>300</v>
      </c>
      <c r="AH224" t="s">
        <v>312</v>
      </c>
      <c r="AI224" t="s">
        <v>312</v>
      </c>
      <c r="AJ224">
        <v>0</v>
      </c>
      <c r="AK224">
        <v>0</v>
      </c>
      <c r="AR224">
        <v>0</v>
      </c>
      <c r="AS224">
        <v>0</v>
      </c>
      <c r="AU224">
        <v>46237</v>
      </c>
      <c r="AV224">
        <v>46239</v>
      </c>
      <c r="AW224" t="s">
        <v>204</v>
      </c>
      <c r="AX224">
        <v>0</v>
      </c>
      <c r="AY224">
        <v>9430</v>
      </c>
      <c r="AZ224" t="s">
        <v>313</v>
      </c>
      <c r="BD224">
        <v>5</v>
      </c>
      <c r="BE224">
        <v>7</v>
      </c>
      <c r="BF224" t="s">
        <v>314</v>
      </c>
      <c r="BG224" t="s">
        <v>153</v>
      </c>
      <c r="BH224">
        <v>15408.800000000001</v>
      </c>
      <c r="BI224">
        <v>46241</v>
      </c>
      <c r="BJ224">
        <v>9</v>
      </c>
      <c r="BK224">
        <v>4495.2</v>
      </c>
      <c r="BL224">
        <v>46262</v>
      </c>
      <c r="BM224">
        <v>30</v>
      </c>
      <c r="BN224">
        <v>19904</v>
      </c>
      <c r="BO224">
        <v>0</v>
      </c>
      <c r="BP224" t="str">
        <f t="shared" si="3"/>
        <v>HAEMBB</v>
      </c>
    </row>
    <row r="225" spans="1:68" x14ac:dyDescent="0.25">
      <c r="A225" t="s">
        <v>1226</v>
      </c>
      <c r="B225" t="s">
        <v>1227</v>
      </c>
      <c r="C225" t="s">
        <v>1228</v>
      </c>
      <c r="D225">
        <v>15371.72</v>
      </c>
      <c r="E225">
        <v>18746</v>
      </c>
      <c r="F225">
        <v>2606</v>
      </c>
      <c r="G225" t="s">
        <v>159</v>
      </c>
      <c r="H225" t="s">
        <v>1082</v>
      </c>
      <c r="I225" t="s">
        <v>1229</v>
      </c>
      <c r="J225" t="s">
        <v>306</v>
      </c>
      <c r="K225" t="s">
        <v>307</v>
      </c>
      <c r="L225">
        <v>46228</v>
      </c>
      <c r="M225">
        <v>46228</v>
      </c>
      <c r="N225">
        <v>46228</v>
      </c>
      <c r="O225" t="s">
        <v>1208</v>
      </c>
      <c r="P225" t="s">
        <v>1209</v>
      </c>
      <c r="Q225" t="s">
        <v>328</v>
      </c>
      <c r="R225" t="s">
        <v>310</v>
      </c>
      <c r="T225" t="s">
        <v>976</v>
      </c>
      <c r="U225">
        <v>779</v>
      </c>
      <c r="V225">
        <v>13826</v>
      </c>
      <c r="W225">
        <v>0</v>
      </c>
      <c r="X225">
        <v>4141</v>
      </c>
      <c r="Y225">
        <v>18746</v>
      </c>
      <c r="Z225">
        <v>0</v>
      </c>
      <c r="AA225" t="s">
        <v>204</v>
      </c>
      <c r="AB225">
        <v>18746</v>
      </c>
      <c r="AC225">
        <v>11622.52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R225">
        <v>0</v>
      </c>
      <c r="AS225">
        <v>0</v>
      </c>
      <c r="AW225" t="s">
        <v>204</v>
      </c>
      <c r="AX225">
        <v>0</v>
      </c>
      <c r="AY225">
        <v>0</v>
      </c>
      <c r="AZ225" t="s">
        <v>313</v>
      </c>
      <c r="BF225" t="s">
        <v>314</v>
      </c>
      <c r="BG225" t="s">
        <v>153</v>
      </c>
      <c r="BH225">
        <v>0</v>
      </c>
      <c r="BK225">
        <v>0</v>
      </c>
      <c r="BN225">
        <v>0</v>
      </c>
      <c r="BO225">
        <v>18746</v>
      </c>
      <c r="BP225" t="str">
        <f t="shared" si="3"/>
        <v>HAEMBB</v>
      </c>
    </row>
    <row r="226" spans="1:68" x14ac:dyDescent="0.25">
      <c r="A226" t="s">
        <v>1230</v>
      </c>
      <c r="B226" t="s">
        <v>1231</v>
      </c>
      <c r="C226" t="s">
        <v>1232</v>
      </c>
      <c r="D226">
        <v>13902.28</v>
      </c>
      <c r="E226">
        <v>16954</v>
      </c>
      <c r="F226">
        <v>2606</v>
      </c>
      <c r="G226" t="s">
        <v>159</v>
      </c>
      <c r="H226" t="s">
        <v>1082</v>
      </c>
      <c r="I226" t="s">
        <v>1233</v>
      </c>
      <c r="J226" t="s">
        <v>306</v>
      </c>
      <c r="K226" t="s">
        <v>307</v>
      </c>
      <c r="L226">
        <v>46234</v>
      </c>
      <c r="M226">
        <v>46234</v>
      </c>
      <c r="N226">
        <v>46234</v>
      </c>
      <c r="O226" t="s">
        <v>318</v>
      </c>
      <c r="P226" t="s">
        <v>204</v>
      </c>
      <c r="Q226" t="s">
        <v>309</v>
      </c>
      <c r="R226" t="s">
        <v>310</v>
      </c>
      <c r="S226" t="s">
        <v>209</v>
      </c>
      <c r="T226" t="s">
        <v>1070</v>
      </c>
      <c r="U226">
        <v>779</v>
      </c>
      <c r="V226">
        <v>12034</v>
      </c>
      <c r="W226">
        <v>0</v>
      </c>
      <c r="X226">
        <v>4141</v>
      </c>
      <c r="Y226">
        <v>16954</v>
      </c>
      <c r="Z226">
        <v>0</v>
      </c>
      <c r="AA226" t="s">
        <v>204</v>
      </c>
      <c r="AB226">
        <v>16954</v>
      </c>
      <c r="AC226">
        <v>10511.48</v>
      </c>
      <c r="AD226">
        <v>600</v>
      </c>
      <c r="AE226">
        <v>600</v>
      </c>
      <c r="AF226">
        <v>300</v>
      </c>
      <c r="AG226">
        <v>300</v>
      </c>
      <c r="AH226" t="s">
        <v>312</v>
      </c>
      <c r="AI226">
        <v>0</v>
      </c>
      <c r="AJ226">
        <v>0</v>
      </c>
      <c r="AK226">
        <v>0</v>
      </c>
      <c r="AR226">
        <v>0</v>
      </c>
      <c r="AS226">
        <v>0</v>
      </c>
      <c r="AU226">
        <v>46237</v>
      </c>
      <c r="AV226">
        <v>46240</v>
      </c>
      <c r="AW226" t="s">
        <v>204</v>
      </c>
      <c r="AX226">
        <v>0</v>
      </c>
      <c r="AY226">
        <v>600</v>
      </c>
      <c r="AZ226" t="s">
        <v>313</v>
      </c>
      <c r="BD226">
        <v>3</v>
      </c>
      <c r="BE226">
        <v>6</v>
      </c>
      <c r="BF226" t="s">
        <v>314</v>
      </c>
      <c r="BG226" t="s">
        <v>153</v>
      </c>
      <c r="BH226">
        <v>13343.8</v>
      </c>
      <c r="BI226">
        <v>46241</v>
      </c>
      <c r="BJ226">
        <v>7</v>
      </c>
      <c r="BK226">
        <v>3610.2</v>
      </c>
      <c r="BL226">
        <v>46262</v>
      </c>
      <c r="BM226">
        <v>28</v>
      </c>
      <c r="BN226">
        <v>16954</v>
      </c>
      <c r="BO226">
        <v>0</v>
      </c>
      <c r="BP226" t="str">
        <f t="shared" si="3"/>
        <v>HAEMBB</v>
      </c>
    </row>
    <row r="227" spans="1:68" x14ac:dyDescent="0.25">
      <c r="A227" t="s">
        <v>1234</v>
      </c>
      <c r="B227" t="s">
        <v>1235</v>
      </c>
      <c r="C227" t="s">
        <v>1236</v>
      </c>
      <c r="D227">
        <v>16321.28</v>
      </c>
      <c r="E227">
        <v>19904</v>
      </c>
      <c r="F227">
        <v>2606</v>
      </c>
      <c r="G227" t="s">
        <v>159</v>
      </c>
      <c r="H227" t="s">
        <v>1082</v>
      </c>
      <c r="I227" t="s">
        <v>1237</v>
      </c>
      <c r="J227" t="s">
        <v>306</v>
      </c>
      <c r="K227" t="s">
        <v>307</v>
      </c>
      <c r="L227">
        <v>46240</v>
      </c>
      <c r="M227">
        <v>46240</v>
      </c>
      <c r="N227">
        <v>46240</v>
      </c>
      <c r="O227" t="s">
        <v>318</v>
      </c>
      <c r="P227" t="s">
        <v>204</v>
      </c>
      <c r="Q227" t="s">
        <v>309</v>
      </c>
      <c r="R227" t="s">
        <v>310</v>
      </c>
      <c r="S227" t="s">
        <v>209</v>
      </c>
      <c r="T227" t="s">
        <v>913</v>
      </c>
      <c r="U227">
        <v>779</v>
      </c>
      <c r="V227">
        <v>14984</v>
      </c>
      <c r="W227">
        <v>0</v>
      </c>
      <c r="X227">
        <v>4141</v>
      </c>
      <c r="Y227">
        <v>19904</v>
      </c>
      <c r="Z227">
        <v>0</v>
      </c>
      <c r="AA227" t="s">
        <v>204</v>
      </c>
      <c r="AB227">
        <v>19904</v>
      </c>
      <c r="AC227">
        <v>12340.48</v>
      </c>
      <c r="AE227">
        <v>0</v>
      </c>
      <c r="AF227">
        <v>300</v>
      </c>
      <c r="AU227">
        <v>46246</v>
      </c>
      <c r="AV227">
        <v>46250</v>
      </c>
      <c r="AW227" t="s">
        <v>204</v>
      </c>
      <c r="AX227">
        <v>0</v>
      </c>
      <c r="AY227">
        <v>0</v>
      </c>
      <c r="AZ227" t="s">
        <v>313</v>
      </c>
      <c r="BD227">
        <v>6</v>
      </c>
      <c r="BE227">
        <v>10</v>
      </c>
      <c r="BF227" t="s">
        <v>314</v>
      </c>
      <c r="BG227" t="s">
        <v>153</v>
      </c>
      <c r="BH227">
        <v>15408.8</v>
      </c>
      <c r="BI227">
        <v>46241</v>
      </c>
      <c r="BJ227">
        <v>1</v>
      </c>
      <c r="BK227">
        <v>4495.2</v>
      </c>
      <c r="BL227">
        <v>46269</v>
      </c>
      <c r="BM227">
        <v>29</v>
      </c>
      <c r="BN227">
        <v>19904</v>
      </c>
      <c r="BO227">
        <v>0</v>
      </c>
      <c r="BP227" t="str">
        <f t="shared" si="3"/>
        <v>HAEMBB</v>
      </c>
    </row>
    <row r="228" spans="1:68" x14ac:dyDescent="0.25">
      <c r="A228" t="s">
        <v>1238</v>
      </c>
      <c r="B228" t="s">
        <v>1239</v>
      </c>
      <c r="C228" t="s">
        <v>210</v>
      </c>
      <c r="D228">
        <v>21473.34</v>
      </c>
      <c r="E228">
        <v>26187</v>
      </c>
      <c r="F228">
        <v>2606</v>
      </c>
      <c r="G228" t="s">
        <v>159</v>
      </c>
      <c r="H228" t="s">
        <v>1082</v>
      </c>
      <c r="I228" t="s">
        <v>1240</v>
      </c>
      <c r="J228" t="s">
        <v>306</v>
      </c>
      <c r="K228" t="s">
        <v>307</v>
      </c>
      <c r="L228">
        <v>46254</v>
      </c>
      <c r="M228">
        <v>46254</v>
      </c>
      <c r="N228">
        <v>46254</v>
      </c>
      <c r="O228" t="s">
        <v>326</v>
      </c>
      <c r="P228" t="s">
        <v>327</v>
      </c>
      <c r="Q228" t="s">
        <v>328</v>
      </c>
      <c r="R228" t="s">
        <v>310</v>
      </c>
      <c r="S228" t="s">
        <v>211</v>
      </c>
      <c r="T228" t="s">
        <v>1241</v>
      </c>
      <c r="U228">
        <v>779</v>
      </c>
      <c r="V228">
        <v>21267</v>
      </c>
      <c r="W228">
        <v>0</v>
      </c>
      <c r="X228">
        <v>4141</v>
      </c>
      <c r="Y228">
        <v>26187</v>
      </c>
      <c r="Z228">
        <v>0</v>
      </c>
      <c r="AA228" t="s">
        <v>204</v>
      </c>
      <c r="AB228">
        <v>26187</v>
      </c>
      <c r="AC228">
        <v>16235.94</v>
      </c>
      <c r="AE228">
        <v>0</v>
      </c>
      <c r="AU228">
        <v>46255</v>
      </c>
      <c r="AV228">
        <v>46258</v>
      </c>
      <c r="AW228" t="s">
        <v>204</v>
      </c>
      <c r="AX228">
        <v>0</v>
      </c>
      <c r="AY228">
        <v>0</v>
      </c>
      <c r="AZ228" t="s">
        <v>313</v>
      </c>
      <c r="BD228">
        <v>1</v>
      </c>
      <c r="BE228">
        <v>4</v>
      </c>
      <c r="BF228" t="s">
        <v>314</v>
      </c>
      <c r="BG228" t="s">
        <v>153</v>
      </c>
      <c r="BH228">
        <v>779</v>
      </c>
      <c r="BI228">
        <v>46269</v>
      </c>
      <c r="BJ228">
        <v>15</v>
      </c>
      <c r="BK228">
        <v>0</v>
      </c>
      <c r="BN228">
        <v>779</v>
      </c>
      <c r="BO228">
        <v>25408</v>
      </c>
      <c r="BP228" t="str">
        <f t="shared" si="3"/>
        <v>HAEMBB</v>
      </c>
    </row>
    <row r="229" spans="1:68" x14ac:dyDescent="0.25">
      <c r="A229" t="s">
        <v>1242</v>
      </c>
      <c r="B229" t="s">
        <v>1243</v>
      </c>
      <c r="C229" t="s">
        <v>214</v>
      </c>
      <c r="D229">
        <v>18740.28</v>
      </c>
      <c r="E229">
        <v>22854</v>
      </c>
      <c r="F229">
        <v>2606</v>
      </c>
      <c r="G229" t="s">
        <v>159</v>
      </c>
      <c r="H229" t="s">
        <v>1082</v>
      </c>
      <c r="I229" t="s">
        <v>1244</v>
      </c>
      <c r="J229" t="s">
        <v>306</v>
      </c>
      <c r="K229" t="s">
        <v>307</v>
      </c>
      <c r="L229">
        <v>46259</v>
      </c>
      <c r="M229">
        <v>46259</v>
      </c>
      <c r="N229">
        <v>46259</v>
      </c>
      <c r="O229" t="s">
        <v>1208</v>
      </c>
      <c r="P229" t="s">
        <v>1209</v>
      </c>
      <c r="Q229" t="s">
        <v>328</v>
      </c>
      <c r="R229" t="s">
        <v>310</v>
      </c>
      <c r="S229" t="s">
        <v>211</v>
      </c>
      <c r="T229" t="s">
        <v>1032</v>
      </c>
      <c r="U229">
        <v>779</v>
      </c>
      <c r="V229">
        <v>17934</v>
      </c>
      <c r="W229">
        <v>0</v>
      </c>
      <c r="X229">
        <v>4141</v>
      </c>
      <c r="Y229">
        <v>22854</v>
      </c>
      <c r="Z229">
        <v>0</v>
      </c>
      <c r="AA229" t="s">
        <v>204</v>
      </c>
      <c r="AB229">
        <v>22854</v>
      </c>
      <c r="AC229">
        <v>14169.48</v>
      </c>
      <c r="AU229">
        <v>46259</v>
      </c>
      <c r="AV229">
        <v>46260</v>
      </c>
      <c r="AW229" t="s">
        <v>204</v>
      </c>
      <c r="AX229">
        <v>0</v>
      </c>
      <c r="AY229">
        <v>0</v>
      </c>
      <c r="AZ229" t="s">
        <v>313</v>
      </c>
      <c r="BD229">
        <v>0</v>
      </c>
      <c r="BE229">
        <v>1</v>
      </c>
      <c r="BF229" t="s">
        <v>314</v>
      </c>
      <c r="BG229" t="s">
        <v>153</v>
      </c>
      <c r="BH229">
        <v>779</v>
      </c>
      <c r="BI229">
        <v>46269</v>
      </c>
      <c r="BJ229">
        <v>10</v>
      </c>
      <c r="BK229">
        <v>0</v>
      </c>
      <c r="BN229">
        <v>779</v>
      </c>
      <c r="BO229">
        <v>22075</v>
      </c>
      <c r="BP229" t="str">
        <f t="shared" si="3"/>
        <v>HAEMBB</v>
      </c>
    </row>
    <row r="230" spans="1:68" x14ac:dyDescent="0.25">
      <c r="A230" t="s">
        <v>1245</v>
      </c>
      <c r="B230" t="s">
        <v>1246</v>
      </c>
      <c r="C230" t="s">
        <v>1247</v>
      </c>
      <c r="D230">
        <v>18740.28</v>
      </c>
      <c r="E230">
        <v>22854</v>
      </c>
      <c r="F230">
        <v>2606</v>
      </c>
      <c r="G230" t="s">
        <v>159</v>
      </c>
      <c r="H230" t="s">
        <v>1082</v>
      </c>
      <c r="I230" t="s">
        <v>1248</v>
      </c>
      <c r="J230" t="s">
        <v>306</v>
      </c>
      <c r="K230" t="s">
        <v>307</v>
      </c>
      <c r="N230">
        <v>0</v>
      </c>
      <c r="T230">
        <v>0</v>
      </c>
      <c r="U230">
        <v>779</v>
      </c>
      <c r="V230">
        <v>17934</v>
      </c>
      <c r="W230">
        <v>0</v>
      </c>
      <c r="X230">
        <v>4141</v>
      </c>
      <c r="Y230">
        <v>22854</v>
      </c>
      <c r="Z230">
        <v>0</v>
      </c>
      <c r="AA230" t="s">
        <v>204</v>
      </c>
      <c r="AB230">
        <v>22854</v>
      </c>
      <c r="AC230">
        <v>14169.48</v>
      </c>
      <c r="AW230" t="s">
        <v>204</v>
      </c>
      <c r="AX230">
        <v>0</v>
      </c>
      <c r="AY230">
        <v>0</v>
      </c>
      <c r="AZ230" t="s">
        <v>313</v>
      </c>
      <c r="BD230">
        <v>0</v>
      </c>
      <c r="BE230">
        <v>0</v>
      </c>
      <c r="BF230" t="s">
        <v>1057</v>
      </c>
      <c r="BG230" t="s">
        <v>153</v>
      </c>
      <c r="BH230">
        <v>0</v>
      </c>
      <c r="BJ230">
        <v>0</v>
      </c>
      <c r="BK230">
        <v>0</v>
      </c>
      <c r="BM230">
        <v>0</v>
      </c>
      <c r="BN230">
        <v>0</v>
      </c>
      <c r="BO230">
        <v>22854</v>
      </c>
      <c r="BP230" t="str">
        <f t="shared" si="3"/>
        <v>HAEMBB</v>
      </c>
    </row>
    <row r="231" spans="1:68" x14ac:dyDescent="0.25">
      <c r="A231" t="s">
        <v>1249</v>
      </c>
      <c r="B231" t="s">
        <v>1250</v>
      </c>
      <c r="C231" t="s">
        <v>216</v>
      </c>
      <c r="D231">
        <v>11475.08</v>
      </c>
      <c r="E231">
        <v>13994</v>
      </c>
      <c r="F231">
        <v>2606</v>
      </c>
      <c r="G231" t="s">
        <v>159</v>
      </c>
      <c r="H231" t="s">
        <v>1082</v>
      </c>
      <c r="I231" t="s">
        <v>1251</v>
      </c>
      <c r="J231" t="s">
        <v>306</v>
      </c>
      <c r="K231" t="s">
        <v>307</v>
      </c>
      <c r="L231">
        <v>46252</v>
      </c>
      <c r="M231">
        <v>46252</v>
      </c>
      <c r="N231">
        <v>46252</v>
      </c>
      <c r="O231" t="s">
        <v>938</v>
      </c>
      <c r="P231" t="s">
        <v>939</v>
      </c>
      <c r="Q231" t="s">
        <v>328</v>
      </c>
      <c r="R231" t="s">
        <v>310</v>
      </c>
      <c r="S231" t="s">
        <v>211</v>
      </c>
      <c r="T231" t="s">
        <v>1241</v>
      </c>
      <c r="U231">
        <v>779</v>
      </c>
      <c r="V231">
        <v>11662</v>
      </c>
      <c r="W231">
        <v>0</v>
      </c>
      <c r="X231">
        <v>1553</v>
      </c>
      <c r="Y231">
        <v>13994</v>
      </c>
      <c r="Z231">
        <v>0</v>
      </c>
      <c r="AA231" t="s">
        <v>204</v>
      </c>
      <c r="AB231">
        <v>13994</v>
      </c>
      <c r="AC231">
        <v>8676.2800000000007</v>
      </c>
      <c r="AE231">
        <v>0</v>
      </c>
      <c r="AU231">
        <v>46257</v>
      </c>
      <c r="AV231">
        <v>46259</v>
      </c>
      <c r="AW231" t="s">
        <v>204</v>
      </c>
      <c r="AX231">
        <v>0</v>
      </c>
      <c r="AY231">
        <v>0</v>
      </c>
      <c r="AZ231" t="s">
        <v>313</v>
      </c>
      <c r="BD231">
        <v>5</v>
      </c>
      <c r="BE231">
        <v>7</v>
      </c>
      <c r="BF231" t="s">
        <v>314</v>
      </c>
      <c r="BG231" t="s">
        <v>153</v>
      </c>
      <c r="BH231">
        <v>10495.399999999998</v>
      </c>
      <c r="BI231">
        <v>46269</v>
      </c>
      <c r="BJ231">
        <v>17</v>
      </c>
      <c r="BK231">
        <v>0</v>
      </c>
      <c r="BN231">
        <v>10495.399999999998</v>
      </c>
      <c r="BO231">
        <v>3498.6000000000022</v>
      </c>
      <c r="BP231" t="str">
        <f t="shared" si="3"/>
        <v>HAEMBB</v>
      </c>
    </row>
    <row r="232" spans="1:68" x14ac:dyDescent="0.25">
      <c r="A232" t="s">
        <v>1252</v>
      </c>
      <c r="B232" t="s">
        <v>1253</v>
      </c>
      <c r="C232" t="s">
        <v>1254</v>
      </c>
      <c r="D232">
        <v>18740.28</v>
      </c>
      <c r="E232">
        <v>22854</v>
      </c>
      <c r="F232">
        <v>2606</v>
      </c>
      <c r="G232" t="s">
        <v>159</v>
      </c>
      <c r="H232" t="s">
        <v>1082</v>
      </c>
      <c r="I232" t="s">
        <v>1255</v>
      </c>
      <c r="J232" t="s">
        <v>306</v>
      </c>
      <c r="K232" t="s">
        <v>307</v>
      </c>
      <c r="L232">
        <v>46243</v>
      </c>
      <c r="M232">
        <v>46243</v>
      </c>
      <c r="N232">
        <v>46243</v>
      </c>
      <c r="O232" t="s">
        <v>938</v>
      </c>
      <c r="P232" t="s">
        <v>939</v>
      </c>
      <c r="Q232" t="s">
        <v>328</v>
      </c>
      <c r="R232" t="s">
        <v>310</v>
      </c>
      <c r="S232" t="s">
        <v>209</v>
      </c>
      <c r="T232" t="s">
        <v>913</v>
      </c>
      <c r="U232">
        <v>779</v>
      </c>
      <c r="V232">
        <v>17934</v>
      </c>
      <c r="W232">
        <v>0</v>
      </c>
      <c r="X232">
        <v>4141</v>
      </c>
      <c r="Y232">
        <v>22854</v>
      </c>
      <c r="Z232">
        <v>0</v>
      </c>
      <c r="AA232" t="s">
        <v>204</v>
      </c>
      <c r="AB232">
        <v>22854</v>
      </c>
      <c r="AC232">
        <v>14169.48</v>
      </c>
      <c r="AE232">
        <v>9500</v>
      </c>
      <c r="AF232">
        <v>300</v>
      </c>
      <c r="AU232">
        <v>46246</v>
      </c>
      <c r="AV232">
        <v>46251</v>
      </c>
      <c r="AW232" t="s">
        <v>204</v>
      </c>
      <c r="AX232">
        <v>0</v>
      </c>
      <c r="AY232">
        <v>0</v>
      </c>
      <c r="AZ232" t="s">
        <v>313</v>
      </c>
      <c r="BD232">
        <v>3</v>
      </c>
      <c r="BE232">
        <v>8</v>
      </c>
      <c r="BF232" t="s">
        <v>314</v>
      </c>
      <c r="BG232" t="s">
        <v>153</v>
      </c>
      <c r="BH232">
        <v>17473.8</v>
      </c>
      <c r="BI232">
        <v>46250</v>
      </c>
      <c r="BJ232">
        <v>7</v>
      </c>
      <c r="BK232">
        <v>5380.2</v>
      </c>
      <c r="BL232">
        <v>46269</v>
      </c>
      <c r="BM232">
        <v>26</v>
      </c>
      <c r="BN232">
        <v>22854</v>
      </c>
      <c r="BO232">
        <v>0</v>
      </c>
      <c r="BP232" t="str">
        <f t="shared" si="3"/>
        <v>HAEMBB</v>
      </c>
    </row>
    <row r="233" spans="1:68" x14ac:dyDescent="0.25">
      <c r="A233" t="s">
        <v>1256</v>
      </c>
      <c r="B233" t="s">
        <v>1257</v>
      </c>
      <c r="C233" t="s">
        <v>208</v>
      </c>
      <c r="D233">
        <v>13993.3</v>
      </c>
      <c r="E233">
        <v>17065</v>
      </c>
      <c r="F233">
        <v>2606</v>
      </c>
      <c r="G233" t="s">
        <v>159</v>
      </c>
      <c r="H233" t="s">
        <v>1082</v>
      </c>
      <c r="I233" t="s">
        <v>1258</v>
      </c>
      <c r="J233" t="s">
        <v>306</v>
      </c>
      <c r="K233" t="s">
        <v>307</v>
      </c>
      <c r="L233">
        <v>46245</v>
      </c>
      <c r="M233">
        <v>46245</v>
      </c>
      <c r="N233">
        <v>46245</v>
      </c>
      <c r="O233" t="s">
        <v>911</v>
      </c>
      <c r="P233" t="s">
        <v>912</v>
      </c>
      <c r="Q233" t="s">
        <v>328</v>
      </c>
      <c r="R233" t="s">
        <v>310</v>
      </c>
      <c r="S233" t="s">
        <v>209</v>
      </c>
      <c r="T233" t="s">
        <v>1259</v>
      </c>
      <c r="U233">
        <v>779</v>
      </c>
      <c r="V233">
        <v>14733</v>
      </c>
      <c r="W233">
        <v>0</v>
      </c>
      <c r="X233">
        <v>1553</v>
      </c>
      <c r="Y233">
        <v>17065</v>
      </c>
      <c r="Z233">
        <v>4232</v>
      </c>
      <c r="AA233">
        <v>46253</v>
      </c>
      <c r="AB233">
        <v>21297</v>
      </c>
      <c r="AC233">
        <v>10580.3</v>
      </c>
      <c r="AE233">
        <v>9310</v>
      </c>
      <c r="AF233">
        <v>300</v>
      </c>
      <c r="AU233">
        <v>46249</v>
      </c>
      <c r="AV233">
        <v>46253</v>
      </c>
      <c r="AW233" t="s">
        <v>204</v>
      </c>
      <c r="AX233">
        <v>0</v>
      </c>
      <c r="AY233">
        <v>0</v>
      </c>
      <c r="AZ233" t="s">
        <v>313</v>
      </c>
      <c r="BD233">
        <v>4</v>
      </c>
      <c r="BE233">
        <v>8</v>
      </c>
      <c r="BF233" t="s">
        <v>314</v>
      </c>
      <c r="BG233" t="s">
        <v>153</v>
      </c>
      <c r="BH233">
        <v>12645.099999999999</v>
      </c>
      <c r="BI233">
        <v>46255</v>
      </c>
      <c r="BJ233">
        <v>10</v>
      </c>
      <c r="BK233">
        <v>0</v>
      </c>
      <c r="BN233">
        <v>12645.099999999999</v>
      </c>
      <c r="BO233">
        <v>8651.9000000000015</v>
      </c>
      <c r="BP233" t="str">
        <f t="shared" si="3"/>
        <v>HAEMBB</v>
      </c>
    </row>
    <row r="234" spans="1:68" x14ac:dyDescent="0.25">
      <c r="A234" t="s">
        <v>1260</v>
      </c>
      <c r="B234" t="s">
        <v>1261</v>
      </c>
      <c r="C234" t="s">
        <v>1262</v>
      </c>
      <c r="D234">
        <v>12209.8</v>
      </c>
      <c r="E234">
        <v>14890</v>
      </c>
      <c r="F234">
        <v>2606</v>
      </c>
      <c r="G234" t="s">
        <v>159</v>
      </c>
      <c r="H234" t="s">
        <v>1082</v>
      </c>
      <c r="I234" t="s">
        <v>1263</v>
      </c>
      <c r="J234" t="s">
        <v>306</v>
      </c>
      <c r="K234" t="s">
        <v>307</v>
      </c>
      <c r="L234">
        <v>46226</v>
      </c>
      <c r="M234">
        <v>46226</v>
      </c>
      <c r="N234">
        <v>46226</v>
      </c>
      <c r="O234" t="s">
        <v>326</v>
      </c>
      <c r="P234" t="s">
        <v>327</v>
      </c>
      <c r="Q234" t="s">
        <v>328</v>
      </c>
      <c r="R234" t="s">
        <v>310</v>
      </c>
      <c r="S234" t="s">
        <v>209</v>
      </c>
      <c r="T234" t="s">
        <v>976</v>
      </c>
      <c r="U234">
        <v>779</v>
      </c>
      <c r="V234">
        <v>12558</v>
      </c>
      <c r="W234">
        <v>0</v>
      </c>
      <c r="X234">
        <v>1553</v>
      </c>
      <c r="Y234">
        <v>14890</v>
      </c>
      <c r="Z234">
        <v>0</v>
      </c>
      <c r="AA234" t="s">
        <v>204</v>
      </c>
      <c r="AB234">
        <v>14890</v>
      </c>
      <c r="AC234">
        <v>9231.7999999999993</v>
      </c>
      <c r="AD234">
        <v>8270</v>
      </c>
      <c r="AE234">
        <v>7970</v>
      </c>
      <c r="AF234">
        <v>300</v>
      </c>
      <c r="AG234">
        <v>0</v>
      </c>
      <c r="AH234" t="s">
        <v>312</v>
      </c>
      <c r="AI234" t="s">
        <v>312</v>
      </c>
      <c r="AJ234">
        <v>0</v>
      </c>
      <c r="AK234">
        <v>0</v>
      </c>
      <c r="AR234">
        <v>0</v>
      </c>
      <c r="AS234">
        <v>0</v>
      </c>
      <c r="AU234">
        <v>46232</v>
      </c>
      <c r="AV234">
        <v>46234</v>
      </c>
      <c r="AW234" t="s">
        <v>204</v>
      </c>
      <c r="AX234">
        <v>0</v>
      </c>
      <c r="AY234">
        <v>8270</v>
      </c>
      <c r="AZ234" t="s">
        <v>313</v>
      </c>
      <c r="BD234">
        <v>6</v>
      </c>
      <c r="BE234">
        <v>8</v>
      </c>
      <c r="BF234" t="s">
        <v>314</v>
      </c>
      <c r="BG234" t="s">
        <v>153</v>
      </c>
      <c r="BH234">
        <v>11122.599999999999</v>
      </c>
      <c r="BI234">
        <v>46234</v>
      </c>
      <c r="BJ234">
        <v>8</v>
      </c>
      <c r="BK234">
        <v>3767.3999999999996</v>
      </c>
      <c r="BL234">
        <v>46255</v>
      </c>
      <c r="BM234">
        <v>29</v>
      </c>
      <c r="BN234">
        <v>14889.999999999998</v>
      </c>
      <c r="BO234">
        <v>0</v>
      </c>
      <c r="BP234" t="str">
        <f t="shared" si="3"/>
        <v>HAEMBB</v>
      </c>
    </row>
    <row r="235" spans="1:68" x14ac:dyDescent="0.25">
      <c r="A235" t="s">
        <v>1264</v>
      </c>
      <c r="B235" t="s">
        <v>1265</v>
      </c>
      <c r="C235" t="s">
        <v>1266</v>
      </c>
      <c r="D235">
        <v>18220.400000000001</v>
      </c>
      <c r="E235">
        <v>22220</v>
      </c>
      <c r="F235">
        <v>2606</v>
      </c>
      <c r="G235" t="s">
        <v>159</v>
      </c>
      <c r="H235" t="s">
        <v>1082</v>
      </c>
      <c r="I235" t="s">
        <v>1267</v>
      </c>
      <c r="J235" t="s">
        <v>306</v>
      </c>
      <c r="K235" t="s">
        <v>307</v>
      </c>
      <c r="L235">
        <v>46241</v>
      </c>
      <c r="M235">
        <v>46242</v>
      </c>
      <c r="N235">
        <v>46242</v>
      </c>
      <c r="O235" t="s">
        <v>326</v>
      </c>
      <c r="P235" t="s">
        <v>327</v>
      </c>
      <c r="Q235" t="s">
        <v>328</v>
      </c>
      <c r="R235" t="s">
        <v>310</v>
      </c>
      <c r="S235" t="s">
        <v>209</v>
      </c>
      <c r="T235" t="s">
        <v>913</v>
      </c>
      <c r="U235">
        <v>779</v>
      </c>
      <c r="V235">
        <v>17300</v>
      </c>
      <c r="W235">
        <v>0</v>
      </c>
      <c r="X235">
        <v>4141</v>
      </c>
      <c r="Y235">
        <v>22220</v>
      </c>
      <c r="Z235">
        <v>0</v>
      </c>
      <c r="AA235" t="s">
        <v>204</v>
      </c>
      <c r="AB235">
        <v>22220</v>
      </c>
      <c r="AC235">
        <v>13776.4</v>
      </c>
      <c r="AE235">
        <v>9570</v>
      </c>
      <c r="AF235">
        <v>300</v>
      </c>
      <c r="AU235">
        <v>46242</v>
      </c>
      <c r="AV235">
        <v>46243</v>
      </c>
      <c r="AW235" t="s">
        <v>204</v>
      </c>
      <c r="AX235">
        <v>0</v>
      </c>
      <c r="AY235">
        <v>0</v>
      </c>
      <c r="AZ235" t="s">
        <v>313</v>
      </c>
      <c r="BD235">
        <v>0</v>
      </c>
      <c r="BE235">
        <v>1</v>
      </c>
      <c r="BF235" t="s">
        <v>314</v>
      </c>
      <c r="BG235" t="s">
        <v>153</v>
      </c>
      <c r="BH235">
        <v>17030</v>
      </c>
      <c r="BI235">
        <v>46250</v>
      </c>
      <c r="BJ235">
        <v>8</v>
      </c>
      <c r="BK235">
        <v>5190</v>
      </c>
      <c r="BL235">
        <v>46269</v>
      </c>
      <c r="BM235">
        <v>27</v>
      </c>
      <c r="BN235">
        <v>22220</v>
      </c>
      <c r="BO235">
        <v>0</v>
      </c>
      <c r="BP235" t="str">
        <f t="shared" si="3"/>
        <v>HAEMBB</v>
      </c>
    </row>
    <row r="236" spans="1:68" x14ac:dyDescent="0.25">
      <c r="A236" t="s">
        <v>1268</v>
      </c>
      <c r="B236" t="s">
        <v>1269</v>
      </c>
      <c r="C236" t="s">
        <v>1270</v>
      </c>
      <c r="D236">
        <v>20505.740000000002</v>
      </c>
      <c r="E236">
        <v>25007</v>
      </c>
      <c r="F236">
        <v>2606</v>
      </c>
      <c r="G236" t="s">
        <v>159</v>
      </c>
      <c r="H236" t="s">
        <v>1082</v>
      </c>
      <c r="I236" t="s">
        <v>1271</v>
      </c>
      <c r="J236" t="s">
        <v>306</v>
      </c>
      <c r="K236" t="s">
        <v>307</v>
      </c>
      <c r="L236">
        <v>46226</v>
      </c>
      <c r="M236">
        <v>46226</v>
      </c>
      <c r="N236">
        <v>46226</v>
      </c>
      <c r="O236" t="s">
        <v>1208</v>
      </c>
      <c r="P236" t="s">
        <v>1209</v>
      </c>
      <c r="Q236" t="s">
        <v>328</v>
      </c>
      <c r="R236" t="s">
        <v>310</v>
      </c>
      <c r="S236" t="s">
        <v>209</v>
      </c>
      <c r="T236" t="s">
        <v>976</v>
      </c>
      <c r="U236">
        <v>779</v>
      </c>
      <c r="V236">
        <v>20087</v>
      </c>
      <c r="W236">
        <v>0</v>
      </c>
      <c r="X236">
        <v>4141</v>
      </c>
      <c r="Y236">
        <v>25007</v>
      </c>
      <c r="Z236">
        <v>2095</v>
      </c>
      <c r="AA236">
        <v>46254</v>
      </c>
      <c r="AB236">
        <v>27102</v>
      </c>
      <c r="AC236">
        <v>15504.34</v>
      </c>
      <c r="AD236">
        <v>11140</v>
      </c>
      <c r="AE236">
        <v>10840</v>
      </c>
      <c r="AF236">
        <v>300</v>
      </c>
      <c r="AG236">
        <v>0</v>
      </c>
      <c r="AH236" t="s">
        <v>312</v>
      </c>
      <c r="AI236" t="s">
        <v>312</v>
      </c>
      <c r="AJ236">
        <v>0</v>
      </c>
      <c r="AK236">
        <v>0</v>
      </c>
      <c r="AR236">
        <v>0</v>
      </c>
      <c r="AS236">
        <v>0</v>
      </c>
      <c r="AU236">
        <v>46240</v>
      </c>
      <c r="AV236">
        <v>46242</v>
      </c>
      <c r="AW236" t="s">
        <v>204</v>
      </c>
      <c r="AX236">
        <v>0</v>
      </c>
      <c r="AY236">
        <v>11140</v>
      </c>
      <c r="AZ236" t="s">
        <v>313</v>
      </c>
      <c r="BD236">
        <v>14</v>
      </c>
      <c r="BE236">
        <v>16</v>
      </c>
      <c r="BF236" t="s">
        <v>314</v>
      </c>
      <c r="BG236" t="s">
        <v>153</v>
      </c>
      <c r="BH236">
        <v>18980.900000000001</v>
      </c>
      <c r="BI236">
        <v>46234</v>
      </c>
      <c r="BJ236">
        <v>8</v>
      </c>
      <c r="BK236">
        <v>4717.8</v>
      </c>
      <c r="BL236">
        <v>46262</v>
      </c>
      <c r="BM236">
        <v>36</v>
      </c>
      <c r="BN236">
        <v>23698.7</v>
      </c>
      <c r="BO236">
        <v>3403.2999999999993</v>
      </c>
      <c r="BP236" t="str">
        <f t="shared" si="3"/>
        <v>HAEMBB</v>
      </c>
    </row>
    <row r="237" spans="1:68" x14ac:dyDescent="0.25">
      <c r="A237" t="s">
        <v>1272</v>
      </c>
      <c r="B237" t="s">
        <v>1273</v>
      </c>
      <c r="C237" t="s">
        <v>1274</v>
      </c>
      <c r="D237">
        <v>10310.68</v>
      </c>
      <c r="E237">
        <v>12574</v>
      </c>
      <c r="F237">
        <v>2606</v>
      </c>
      <c r="G237" t="s">
        <v>159</v>
      </c>
      <c r="H237" t="s">
        <v>1082</v>
      </c>
      <c r="I237" t="s">
        <v>1275</v>
      </c>
      <c r="J237" t="s">
        <v>306</v>
      </c>
      <c r="K237" t="s">
        <v>307</v>
      </c>
      <c r="N237">
        <v>0</v>
      </c>
      <c r="T237">
        <v>0</v>
      </c>
      <c r="U237">
        <v>779</v>
      </c>
      <c r="V237">
        <v>10242</v>
      </c>
      <c r="W237">
        <v>0</v>
      </c>
      <c r="X237">
        <v>1553</v>
      </c>
      <c r="Y237">
        <v>12574</v>
      </c>
      <c r="Z237">
        <v>0</v>
      </c>
      <c r="AA237" t="s">
        <v>204</v>
      </c>
      <c r="AB237">
        <v>12574</v>
      </c>
      <c r="AC237">
        <v>7795.88</v>
      </c>
      <c r="AW237" t="s">
        <v>204</v>
      </c>
      <c r="AX237">
        <v>0</v>
      </c>
      <c r="AY237">
        <v>0</v>
      </c>
      <c r="AZ237" t="s">
        <v>313</v>
      </c>
      <c r="BD237">
        <v>0</v>
      </c>
      <c r="BE237">
        <v>0</v>
      </c>
      <c r="BF237" t="s">
        <v>1057</v>
      </c>
      <c r="BG237" t="s">
        <v>153</v>
      </c>
      <c r="BH237">
        <v>779</v>
      </c>
      <c r="BI237">
        <v>46241</v>
      </c>
      <c r="BK237">
        <v>0</v>
      </c>
      <c r="BM237">
        <v>0</v>
      </c>
      <c r="BN237">
        <v>779</v>
      </c>
      <c r="BO237">
        <v>11795</v>
      </c>
      <c r="BP237" t="str">
        <f t="shared" si="3"/>
        <v>HAEMBB</v>
      </c>
    </row>
    <row r="238" spans="1:68" x14ac:dyDescent="0.25">
      <c r="A238" t="s">
        <v>1276</v>
      </c>
      <c r="B238" t="s">
        <v>1277</v>
      </c>
      <c r="C238" t="s">
        <v>1278</v>
      </c>
      <c r="D238">
        <v>19224.080000000002</v>
      </c>
      <c r="E238">
        <v>23444</v>
      </c>
      <c r="F238">
        <v>2606</v>
      </c>
      <c r="G238" t="s">
        <v>159</v>
      </c>
      <c r="H238" t="s">
        <v>1082</v>
      </c>
      <c r="I238" t="s">
        <v>1279</v>
      </c>
      <c r="J238" t="s">
        <v>306</v>
      </c>
      <c r="K238" t="s">
        <v>307</v>
      </c>
      <c r="L238">
        <v>46231</v>
      </c>
      <c r="M238">
        <v>46231</v>
      </c>
      <c r="N238">
        <v>46231</v>
      </c>
      <c r="O238" t="s">
        <v>1208</v>
      </c>
      <c r="P238" t="s">
        <v>1209</v>
      </c>
      <c r="Q238" t="s">
        <v>328</v>
      </c>
      <c r="R238" t="s">
        <v>310</v>
      </c>
      <c r="S238" t="s">
        <v>209</v>
      </c>
      <c r="T238" t="s">
        <v>1070</v>
      </c>
      <c r="U238">
        <v>779</v>
      </c>
      <c r="V238">
        <v>18524</v>
      </c>
      <c r="W238">
        <v>0</v>
      </c>
      <c r="X238">
        <v>4141</v>
      </c>
      <c r="Y238">
        <v>23444</v>
      </c>
      <c r="Z238">
        <v>2095</v>
      </c>
      <c r="AA238">
        <v>46254</v>
      </c>
      <c r="AB238">
        <v>25539</v>
      </c>
      <c r="AC238">
        <v>14535.28</v>
      </c>
      <c r="AD238">
        <v>10490</v>
      </c>
      <c r="AE238">
        <v>10190</v>
      </c>
      <c r="AF238">
        <v>300</v>
      </c>
      <c r="AG238">
        <v>0</v>
      </c>
      <c r="AH238" t="s">
        <v>312</v>
      </c>
      <c r="AI238" t="s">
        <v>312</v>
      </c>
      <c r="AJ238">
        <v>0</v>
      </c>
      <c r="AK238">
        <v>0</v>
      </c>
      <c r="AR238">
        <v>0</v>
      </c>
      <c r="AS238">
        <v>0</v>
      </c>
      <c r="AU238">
        <v>46241</v>
      </c>
      <c r="AV238">
        <v>46247</v>
      </c>
      <c r="AW238" t="s">
        <v>204</v>
      </c>
      <c r="AX238">
        <v>0</v>
      </c>
      <c r="AY238">
        <v>10490</v>
      </c>
      <c r="AZ238" t="s">
        <v>313</v>
      </c>
      <c r="BD238">
        <v>10</v>
      </c>
      <c r="BE238">
        <v>16</v>
      </c>
      <c r="BF238" t="s">
        <v>314</v>
      </c>
      <c r="BG238" t="s">
        <v>153</v>
      </c>
      <c r="BH238">
        <v>17886.799999999996</v>
      </c>
      <c r="BI238">
        <v>46241</v>
      </c>
      <c r="BJ238">
        <v>10</v>
      </c>
      <c r="BK238">
        <v>5557.1999999999989</v>
      </c>
      <c r="BL238">
        <v>46262</v>
      </c>
      <c r="BM238">
        <v>31</v>
      </c>
      <c r="BN238">
        <v>23443.999999999993</v>
      </c>
      <c r="BO238">
        <v>2095.0000000000073</v>
      </c>
      <c r="BP238" t="str">
        <f t="shared" si="3"/>
        <v>HAEMBB</v>
      </c>
    </row>
    <row r="239" spans="1:68" x14ac:dyDescent="0.25">
      <c r="A239" t="s">
        <v>1280</v>
      </c>
      <c r="B239" t="s">
        <v>1281</v>
      </c>
      <c r="C239" t="s">
        <v>1282</v>
      </c>
      <c r="D239">
        <v>18740.28</v>
      </c>
      <c r="E239">
        <v>22854</v>
      </c>
      <c r="F239">
        <v>2606</v>
      </c>
      <c r="G239" t="s">
        <v>159</v>
      </c>
      <c r="H239" t="s">
        <v>1082</v>
      </c>
      <c r="I239" t="s">
        <v>1283</v>
      </c>
      <c r="J239" t="s">
        <v>306</v>
      </c>
      <c r="K239" t="s">
        <v>307</v>
      </c>
      <c r="N239">
        <v>0</v>
      </c>
      <c r="T239">
        <v>0</v>
      </c>
      <c r="U239">
        <v>779</v>
      </c>
      <c r="V239">
        <v>17934</v>
      </c>
      <c r="W239">
        <v>0</v>
      </c>
      <c r="X239">
        <v>4141</v>
      </c>
      <c r="Y239">
        <v>22854</v>
      </c>
      <c r="Z239">
        <v>0</v>
      </c>
      <c r="AA239" t="s">
        <v>204</v>
      </c>
      <c r="AB239">
        <v>22854</v>
      </c>
      <c r="AC239">
        <v>14169.48</v>
      </c>
      <c r="AW239" t="s">
        <v>204</v>
      </c>
      <c r="AX239">
        <v>0</v>
      </c>
      <c r="AY239">
        <v>0</v>
      </c>
      <c r="AZ239" t="s">
        <v>313</v>
      </c>
      <c r="BD239">
        <v>0</v>
      </c>
      <c r="BE239">
        <v>0</v>
      </c>
      <c r="BF239" t="s">
        <v>1057</v>
      </c>
      <c r="BG239" t="s">
        <v>153</v>
      </c>
      <c r="BH239">
        <v>0</v>
      </c>
      <c r="BJ239">
        <v>0</v>
      </c>
      <c r="BK239">
        <v>0</v>
      </c>
      <c r="BM239">
        <v>0</v>
      </c>
      <c r="BN239">
        <v>0</v>
      </c>
      <c r="BO239">
        <v>22854</v>
      </c>
      <c r="BP239" t="str">
        <f t="shared" si="3"/>
        <v>HAEMBB</v>
      </c>
    </row>
    <row r="240" spans="1:68" x14ac:dyDescent="0.25">
      <c r="A240" t="s">
        <v>1284</v>
      </c>
      <c r="B240" t="s">
        <v>1285</v>
      </c>
      <c r="C240" t="s">
        <v>1286</v>
      </c>
      <c r="D240">
        <v>18112.16</v>
      </c>
      <c r="E240">
        <v>22088</v>
      </c>
      <c r="F240">
        <v>2606</v>
      </c>
      <c r="G240" t="s">
        <v>159</v>
      </c>
      <c r="H240" t="s">
        <v>1082</v>
      </c>
      <c r="I240" t="s">
        <v>1287</v>
      </c>
      <c r="J240" t="s">
        <v>306</v>
      </c>
      <c r="K240" t="s">
        <v>307</v>
      </c>
      <c r="L240">
        <v>46232</v>
      </c>
      <c r="M240">
        <v>46232</v>
      </c>
      <c r="N240">
        <v>46232</v>
      </c>
      <c r="O240" t="s">
        <v>938</v>
      </c>
      <c r="P240" t="s">
        <v>939</v>
      </c>
      <c r="Q240" t="s">
        <v>328</v>
      </c>
      <c r="R240" t="s">
        <v>310</v>
      </c>
      <c r="S240" t="s">
        <v>209</v>
      </c>
      <c r="T240" t="s">
        <v>1070</v>
      </c>
      <c r="U240">
        <v>779</v>
      </c>
      <c r="V240">
        <v>17168</v>
      </c>
      <c r="W240">
        <v>0</v>
      </c>
      <c r="X240">
        <v>4141</v>
      </c>
      <c r="Y240">
        <v>22088</v>
      </c>
      <c r="Z240">
        <v>0</v>
      </c>
      <c r="AA240" t="s">
        <v>204</v>
      </c>
      <c r="AB240">
        <v>22088</v>
      </c>
      <c r="AC240">
        <v>13694.56</v>
      </c>
      <c r="AD240">
        <v>9710</v>
      </c>
      <c r="AE240">
        <v>9410</v>
      </c>
      <c r="AF240">
        <v>300</v>
      </c>
      <c r="AG240">
        <v>0</v>
      </c>
      <c r="AH240" t="s">
        <v>312</v>
      </c>
      <c r="AI240" t="s">
        <v>312</v>
      </c>
      <c r="AJ240">
        <v>0</v>
      </c>
      <c r="AK240">
        <v>0</v>
      </c>
      <c r="AR240">
        <v>0</v>
      </c>
      <c r="AS240">
        <v>0</v>
      </c>
      <c r="AU240">
        <v>46239</v>
      </c>
      <c r="AV240">
        <v>46249</v>
      </c>
      <c r="AW240" t="s">
        <v>204</v>
      </c>
      <c r="AX240">
        <v>0</v>
      </c>
      <c r="AY240">
        <v>9710</v>
      </c>
      <c r="AZ240" t="s">
        <v>313</v>
      </c>
      <c r="BD240">
        <v>7</v>
      </c>
      <c r="BE240">
        <v>17</v>
      </c>
      <c r="BF240" t="s">
        <v>314</v>
      </c>
      <c r="BG240" t="s">
        <v>153</v>
      </c>
      <c r="BH240">
        <v>13695.199999999999</v>
      </c>
      <c r="BI240">
        <v>46241</v>
      </c>
      <c r="BJ240">
        <v>9</v>
      </c>
      <c r="BK240">
        <v>3760.7999999999997</v>
      </c>
      <c r="BL240">
        <v>46269</v>
      </c>
      <c r="BM240">
        <v>37</v>
      </c>
      <c r="BN240">
        <v>17456</v>
      </c>
      <c r="BO240">
        <v>4632</v>
      </c>
      <c r="BP240" t="str">
        <f t="shared" si="3"/>
        <v>HAEMBB</v>
      </c>
    </row>
    <row r="241" spans="1:68" x14ac:dyDescent="0.25">
      <c r="A241" t="s">
        <v>1288</v>
      </c>
      <c r="B241" t="s">
        <v>1289</v>
      </c>
      <c r="C241" t="s">
        <v>1290</v>
      </c>
      <c r="D241">
        <v>14942.86</v>
      </c>
      <c r="E241">
        <v>18223</v>
      </c>
      <c r="F241">
        <v>2606</v>
      </c>
      <c r="G241" t="s">
        <v>159</v>
      </c>
      <c r="H241" t="s">
        <v>1082</v>
      </c>
      <c r="I241" t="s">
        <v>1291</v>
      </c>
      <c r="J241" t="s">
        <v>306</v>
      </c>
      <c r="K241" t="s">
        <v>307</v>
      </c>
      <c r="L241">
        <v>46241</v>
      </c>
      <c r="M241">
        <v>46241</v>
      </c>
      <c r="N241">
        <v>46241</v>
      </c>
      <c r="O241" t="s">
        <v>318</v>
      </c>
      <c r="P241" t="s">
        <v>204</v>
      </c>
      <c r="Q241" t="s">
        <v>309</v>
      </c>
      <c r="R241" t="s">
        <v>310</v>
      </c>
      <c r="S241" t="s">
        <v>209</v>
      </c>
      <c r="T241" t="s">
        <v>913</v>
      </c>
      <c r="U241">
        <v>779</v>
      </c>
      <c r="V241">
        <v>15891</v>
      </c>
      <c r="W241">
        <v>0</v>
      </c>
      <c r="X241">
        <v>1553</v>
      </c>
      <c r="Y241">
        <v>18223</v>
      </c>
      <c r="Z241">
        <v>0</v>
      </c>
      <c r="AA241" t="s">
        <v>204</v>
      </c>
      <c r="AB241">
        <v>18223</v>
      </c>
      <c r="AC241">
        <v>11298.26</v>
      </c>
      <c r="AE241">
        <v>0</v>
      </c>
      <c r="AF241">
        <v>300</v>
      </c>
      <c r="AU241">
        <v>46244</v>
      </c>
      <c r="AV241">
        <v>46258</v>
      </c>
      <c r="AW241" t="s">
        <v>204</v>
      </c>
      <c r="AX241">
        <v>0</v>
      </c>
      <c r="AY241">
        <v>0</v>
      </c>
      <c r="AZ241" t="s">
        <v>313</v>
      </c>
      <c r="BD241">
        <v>3</v>
      </c>
      <c r="BE241">
        <v>17</v>
      </c>
      <c r="BF241" t="s">
        <v>314</v>
      </c>
      <c r="BG241" t="s">
        <v>153</v>
      </c>
      <c r="BH241">
        <v>13455.699999999999</v>
      </c>
      <c r="BI241">
        <v>46250</v>
      </c>
      <c r="BJ241">
        <v>9</v>
      </c>
      <c r="BK241">
        <v>4767.3</v>
      </c>
      <c r="BL241">
        <v>46269</v>
      </c>
      <c r="BM241">
        <v>28</v>
      </c>
      <c r="BN241">
        <v>18223</v>
      </c>
      <c r="BO241">
        <v>0</v>
      </c>
      <c r="BP241" t="str">
        <f t="shared" si="3"/>
        <v>HAEMBB</v>
      </c>
    </row>
    <row r="242" spans="1:68" x14ac:dyDescent="0.25">
      <c r="A242" t="s">
        <v>1292</v>
      </c>
      <c r="B242" t="s">
        <v>1293</v>
      </c>
      <c r="C242" t="s">
        <v>1294</v>
      </c>
      <c r="D242">
        <v>18740.28</v>
      </c>
      <c r="E242">
        <v>22854</v>
      </c>
      <c r="F242">
        <v>2606</v>
      </c>
      <c r="G242" t="s">
        <v>159</v>
      </c>
      <c r="H242" t="s">
        <v>1082</v>
      </c>
      <c r="I242" t="s">
        <v>1295</v>
      </c>
      <c r="J242" t="s">
        <v>306</v>
      </c>
      <c r="K242" t="s">
        <v>307</v>
      </c>
      <c r="N242">
        <v>0</v>
      </c>
      <c r="T242">
        <v>0</v>
      </c>
      <c r="U242">
        <v>779</v>
      </c>
      <c r="V242">
        <v>17934</v>
      </c>
      <c r="W242">
        <v>0</v>
      </c>
      <c r="X242">
        <v>4141</v>
      </c>
      <c r="Y242">
        <v>22854</v>
      </c>
      <c r="Z242">
        <v>0</v>
      </c>
      <c r="AA242" t="s">
        <v>204</v>
      </c>
      <c r="AB242">
        <v>22854</v>
      </c>
      <c r="AC242">
        <v>14169.48</v>
      </c>
      <c r="AW242" t="s">
        <v>204</v>
      </c>
      <c r="AX242">
        <v>0</v>
      </c>
      <c r="AY242">
        <v>0</v>
      </c>
      <c r="AZ242" t="s">
        <v>313</v>
      </c>
      <c r="BD242">
        <v>0</v>
      </c>
      <c r="BE242">
        <v>0</v>
      </c>
      <c r="BF242" t="s">
        <v>1057</v>
      </c>
      <c r="BG242" t="s">
        <v>153</v>
      </c>
      <c r="BH242">
        <v>0</v>
      </c>
      <c r="BJ242">
        <v>0</v>
      </c>
      <c r="BK242">
        <v>0</v>
      </c>
      <c r="BM242">
        <v>0</v>
      </c>
      <c r="BN242">
        <v>0</v>
      </c>
      <c r="BO242">
        <v>22854</v>
      </c>
      <c r="BP242" t="str">
        <f t="shared" si="3"/>
        <v>HAEMBB</v>
      </c>
    </row>
    <row r="243" spans="1:68" x14ac:dyDescent="0.25">
      <c r="A243" t="s">
        <v>1296</v>
      </c>
      <c r="B243" t="s">
        <v>1297</v>
      </c>
      <c r="C243" t="s">
        <v>1298</v>
      </c>
      <c r="D243">
        <v>16303.24</v>
      </c>
      <c r="E243">
        <v>19882</v>
      </c>
      <c r="F243">
        <v>2606</v>
      </c>
      <c r="G243" t="s">
        <v>159</v>
      </c>
      <c r="H243" t="s">
        <v>1082</v>
      </c>
      <c r="I243" t="s">
        <v>1299</v>
      </c>
      <c r="J243" t="s">
        <v>306</v>
      </c>
      <c r="K243" t="s">
        <v>307</v>
      </c>
      <c r="L243">
        <v>46233</v>
      </c>
      <c r="M243">
        <v>46234</v>
      </c>
      <c r="N243">
        <v>46234</v>
      </c>
      <c r="O243" t="s">
        <v>326</v>
      </c>
      <c r="P243" t="s">
        <v>327</v>
      </c>
      <c r="Q243" t="s">
        <v>328</v>
      </c>
      <c r="R243" t="s">
        <v>310</v>
      </c>
      <c r="S243" t="s">
        <v>209</v>
      </c>
      <c r="T243" t="s">
        <v>1070</v>
      </c>
      <c r="U243">
        <v>779</v>
      </c>
      <c r="V243">
        <v>14962</v>
      </c>
      <c r="W243">
        <v>0</v>
      </c>
      <c r="X243">
        <v>4141</v>
      </c>
      <c r="Y243">
        <v>19882</v>
      </c>
      <c r="Z243">
        <v>0</v>
      </c>
      <c r="AA243" t="s">
        <v>204</v>
      </c>
      <c r="AB243">
        <v>19882</v>
      </c>
      <c r="AC243">
        <v>12326.84</v>
      </c>
      <c r="AD243">
        <v>8650</v>
      </c>
      <c r="AE243">
        <v>8350</v>
      </c>
      <c r="AF243">
        <v>300</v>
      </c>
      <c r="AG243">
        <v>0</v>
      </c>
      <c r="AH243" t="s">
        <v>312</v>
      </c>
      <c r="AI243" t="s">
        <v>312</v>
      </c>
      <c r="AJ243">
        <v>0</v>
      </c>
      <c r="AK243">
        <v>0</v>
      </c>
      <c r="AR243">
        <v>0</v>
      </c>
      <c r="AS243">
        <v>0</v>
      </c>
      <c r="AU243">
        <v>46242</v>
      </c>
      <c r="AV243">
        <v>46246</v>
      </c>
      <c r="AW243" t="s">
        <v>204</v>
      </c>
      <c r="AX243">
        <v>0</v>
      </c>
      <c r="AY243">
        <v>8650</v>
      </c>
      <c r="AZ243" t="s">
        <v>313</v>
      </c>
      <c r="BD243">
        <v>8</v>
      </c>
      <c r="BE243">
        <v>12</v>
      </c>
      <c r="BF243" t="s">
        <v>314</v>
      </c>
      <c r="BG243" t="s">
        <v>153</v>
      </c>
      <c r="BH243">
        <v>15393.4</v>
      </c>
      <c r="BI243">
        <v>46241</v>
      </c>
      <c r="BJ243">
        <v>7</v>
      </c>
      <c r="BK243">
        <v>4488.5999999999995</v>
      </c>
      <c r="BL243">
        <v>46262</v>
      </c>
      <c r="BM243">
        <v>28</v>
      </c>
      <c r="BN243">
        <v>19882</v>
      </c>
      <c r="BO243">
        <v>0</v>
      </c>
      <c r="BP243" t="str">
        <f t="shared" si="3"/>
        <v>HAEMBB</v>
      </c>
    </row>
    <row r="244" spans="1:68" x14ac:dyDescent="0.25">
      <c r="A244" t="s">
        <v>1300</v>
      </c>
      <c r="B244" t="s">
        <v>1301</v>
      </c>
      <c r="C244" t="s">
        <v>1302</v>
      </c>
      <c r="D244">
        <v>15447.98</v>
      </c>
      <c r="E244">
        <v>18839</v>
      </c>
      <c r="F244">
        <v>2606</v>
      </c>
      <c r="G244" t="s">
        <v>159</v>
      </c>
      <c r="H244" t="s">
        <v>1082</v>
      </c>
      <c r="I244" t="s">
        <v>1303</v>
      </c>
      <c r="J244" t="s">
        <v>306</v>
      </c>
      <c r="K244" t="s">
        <v>307</v>
      </c>
      <c r="L244">
        <v>46231</v>
      </c>
      <c r="M244">
        <v>46231</v>
      </c>
      <c r="N244">
        <v>46231</v>
      </c>
      <c r="O244" t="s">
        <v>1208</v>
      </c>
      <c r="P244" t="s">
        <v>1209</v>
      </c>
      <c r="Q244" t="s">
        <v>328</v>
      </c>
      <c r="R244" t="s">
        <v>310</v>
      </c>
      <c r="S244" t="s">
        <v>209</v>
      </c>
      <c r="T244" t="s">
        <v>1070</v>
      </c>
      <c r="U244">
        <v>779</v>
      </c>
      <c r="V244">
        <v>13919</v>
      </c>
      <c r="W244">
        <v>0</v>
      </c>
      <c r="X244">
        <v>4141</v>
      </c>
      <c r="Y244">
        <v>18839</v>
      </c>
      <c r="Z244">
        <v>2095</v>
      </c>
      <c r="AA244">
        <v>46254</v>
      </c>
      <c r="AB244">
        <v>20934</v>
      </c>
      <c r="AC244">
        <v>11680.18</v>
      </c>
      <c r="AD244">
        <v>8830</v>
      </c>
      <c r="AE244">
        <v>8230</v>
      </c>
      <c r="AF244">
        <v>300</v>
      </c>
      <c r="AG244">
        <v>300</v>
      </c>
      <c r="AH244" t="s">
        <v>312</v>
      </c>
      <c r="AI244" t="s">
        <v>312</v>
      </c>
      <c r="AJ244">
        <v>0</v>
      </c>
      <c r="AK244">
        <v>0</v>
      </c>
      <c r="AR244">
        <v>0</v>
      </c>
      <c r="AS244">
        <v>0</v>
      </c>
      <c r="AU244">
        <v>46239</v>
      </c>
      <c r="AV244">
        <v>46242</v>
      </c>
      <c r="AW244" t="s">
        <v>204</v>
      </c>
      <c r="AX244">
        <v>0</v>
      </c>
      <c r="AY244">
        <v>8830</v>
      </c>
      <c r="AZ244" t="s">
        <v>313</v>
      </c>
      <c r="BD244">
        <v>8</v>
      </c>
      <c r="BE244">
        <v>11</v>
      </c>
      <c r="BF244" t="s">
        <v>314</v>
      </c>
      <c r="BG244" t="s">
        <v>153</v>
      </c>
      <c r="BH244">
        <v>14663.3</v>
      </c>
      <c r="BI244">
        <v>46241</v>
      </c>
      <c r="BJ244">
        <v>10</v>
      </c>
      <c r="BK244">
        <v>4175.7</v>
      </c>
      <c r="BL244">
        <v>46262</v>
      </c>
      <c r="BM244">
        <v>31</v>
      </c>
      <c r="BN244">
        <v>18839</v>
      </c>
      <c r="BO244">
        <v>2095</v>
      </c>
      <c r="BP244" t="str">
        <f t="shared" si="3"/>
        <v>HAEMBB</v>
      </c>
    </row>
    <row r="245" spans="1:68" x14ac:dyDescent="0.25">
      <c r="A245" t="s">
        <v>1304</v>
      </c>
      <c r="B245" t="s">
        <v>1305</v>
      </c>
      <c r="C245" t="s">
        <v>1306</v>
      </c>
      <c r="D245">
        <v>11260.24</v>
      </c>
      <c r="E245">
        <v>13732</v>
      </c>
      <c r="F245">
        <v>2606</v>
      </c>
      <c r="G245" t="s">
        <v>159</v>
      </c>
      <c r="H245" t="s">
        <v>1082</v>
      </c>
      <c r="I245" t="s">
        <v>1307</v>
      </c>
      <c r="J245" t="s">
        <v>306</v>
      </c>
      <c r="K245" t="s">
        <v>307</v>
      </c>
      <c r="L245">
        <v>46234</v>
      </c>
      <c r="M245">
        <v>46234</v>
      </c>
      <c r="N245">
        <v>46234</v>
      </c>
      <c r="O245" t="s">
        <v>326</v>
      </c>
      <c r="P245" t="s">
        <v>327</v>
      </c>
      <c r="Q245" t="s">
        <v>328</v>
      </c>
      <c r="R245" t="s">
        <v>310</v>
      </c>
      <c r="S245" t="s">
        <v>209</v>
      </c>
      <c r="T245" t="s">
        <v>1070</v>
      </c>
      <c r="U245">
        <v>779</v>
      </c>
      <c r="V245">
        <v>11400</v>
      </c>
      <c r="W245">
        <v>0</v>
      </c>
      <c r="X245">
        <v>1553</v>
      </c>
      <c r="Y245">
        <v>13732</v>
      </c>
      <c r="Z245">
        <v>0</v>
      </c>
      <c r="AA245" t="s">
        <v>204</v>
      </c>
      <c r="AB245">
        <v>13732</v>
      </c>
      <c r="AC245">
        <v>8513.84</v>
      </c>
      <c r="AD245">
        <v>7930</v>
      </c>
      <c r="AE245">
        <v>7330</v>
      </c>
      <c r="AF245">
        <v>300</v>
      </c>
      <c r="AG245">
        <v>300</v>
      </c>
      <c r="AH245" t="s">
        <v>312</v>
      </c>
      <c r="AI245" t="s">
        <v>312</v>
      </c>
      <c r="AJ245">
        <v>0</v>
      </c>
      <c r="AK245">
        <v>0</v>
      </c>
      <c r="AR245">
        <v>0</v>
      </c>
      <c r="AS245">
        <v>0</v>
      </c>
      <c r="AU245">
        <v>46236</v>
      </c>
      <c r="AV245">
        <v>46239</v>
      </c>
      <c r="AW245" t="s">
        <v>204</v>
      </c>
      <c r="AX245">
        <v>0</v>
      </c>
      <c r="AY245">
        <v>7930</v>
      </c>
      <c r="AZ245" t="s">
        <v>313</v>
      </c>
      <c r="BD245">
        <v>2</v>
      </c>
      <c r="BE245">
        <v>5</v>
      </c>
      <c r="BF245" t="s">
        <v>314</v>
      </c>
      <c r="BG245" t="s">
        <v>153</v>
      </c>
      <c r="BH245">
        <v>10312</v>
      </c>
      <c r="BI245">
        <v>46241</v>
      </c>
      <c r="BJ245">
        <v>7</v>
      </c>
      <c r="BK245">
        <v>3420</v>
      </c>
      <c r="BL245">
        <v>46262</v>
      </c>
      <c r="BM245">
        <v>28</v>
      </c>
      <c r="BN245">
        <v>13732</v>
      </c>
      <c r="BO245">
        <v>0</v>
      </c>
      <c r="BP245" t="str">
        <f t="shared" si="3"/>
        <v>HAEMBB</v>
      </c>
    </row>
    <row r="246" spans="1:68" x14ac:dyDescent="0.25">
      <c r="A246" t="s">
        <v>1308</v>
      </c>
      <c r="B246" t="s">
        <v>1309</v>
      </c>
      <c r="C246" t="s">
        <v>1310</v>
      </c>
      <c r="D246">
        <v>14404.12</v>
      </c>
      <c r="E246">
        <v>17566</v>
      </c>
      <c r="F246">
        <v>2606</v>
      </c>
      <c r="G246" t="s">
        <v>159</v>
      </c>
      <c r="H246" t="s">
        <v>1082</v>
      </c>
      <c r="I246" t="s">
        <v>1311</v>
      </c>
      <c r="J246" t="s">
        <v>306</v>
      </c>
      <c r="K246" t="s">
        <v>307</v>
      </c>
      <c r="L246">
        <v>46225</v>
      </c>
      <c r="M246">
        <v>46225</v>
      </c>
      <c r="N246">
        <v>46225</v>
      </c>
      <c r="O246" t="s">
        <v>326</v>
      </c>
      <c r="P246" t="s">
        <v>327</v>
      </c>
      <c r="Q246" t="s">
        <v>328</v>
      </c>
      <c r="R246" t="s">
        <v>310</v>
      </c>
      <c r="S246" t="s">
        <v>209</v>
      </c>
      <c r="T246" t="s">
        <v>976</v>
      </c>
      <c r="U246">
        <v>779</v>
      </c>
      <c r="V246">
        <v>12646</v>
      </c>
      <c r="W246">
        <v>0</v>
      </c>
      <c r="X246">
        <v>4141</v>
      </c>
      <c r="Y246">
        <v>17566</v>
      </c>
      <c r="Z246">
        <v>0</v>
      </c>
      <c r="AA246" t="s">
        <v>204</v>
      </c>
      <c r="AB246">
        <v>17566</v>
      </c>
      <c r="AC246">
        <v>10890.92</v>
      </c>
      <c r="AD246">
        <v>7310</v>
      </c>
      <c r="AE246">
        <v>7010</v>
      </c>
      <c r="AF246">
        <v>300</v>
      </c>
      <c r="AG246">
        <v>0</v>
      </c>
      <c r="AH246" t="s">
        <v>312</v>
      </c>
      <c r="AI246" t="s">
        <v>312</v>
      </c>
      <c r="AJ246">
        <v>0</v>
      </c>
      <c r="AK246">
        <v>0</v>
      </c>
      <c r="AR246">
        <v>0</v>
      </c>
      <c r="AS246">
        <v>0</v>
      </c>
      <c r="AU246">
        <v>46230</v>
      </c>
      <c r="AV246">
        <v>46231</v>
      </c>
      <c r="AW246" t="s">
        <v>204</v>
      </c>
      <c r="AX246">
        <v>0</v>
      </c>
      <c r="AY246">
        <v>7310</v>
      </c>
      <c r="AZ246" t="s">
        <v>313</v>
      </c>
      <c r="BD246">
        <v>5</v>
      </c>
      <c r="BE246">
        <v>6</v>
      </c>
      <c r="BF246" t="s">
        <v>314</v>
      </c>
      <c r="BG246" t="s">
        <v>153</v>
      </c>
      <c r="BH246">
        <v>13772.2</v>
      </c>
      <c r="BI246">
        <v>46234</v>
      </c>
      <c r="BJ246">
        <v>9</v>
      </c>
      <c r="BK246">
        <v>3793.8</v>
      </c>
      <c r="BL246">
        <v>46250</v>
      </c>
      <c r="BM246">
        <v>25</v>
      </c>
      <c r="BN246">
        <v>17566</v>
      </c>
      <c r="BO246">
        <v>0</v>
      </c>
      <c r="BP246" t="str">
        <f t="shared" si="3"/>
        <v>HAEMBB</v>
      </c>
    </row>
    <row r="247" spans="1:68" x14ac:dyDescent="0.25">
      <c r="A247" t="s">
        <v>1312</v>
      </c>
      <c r="B247" t="s">
        <v>1313</v>
      </c>
      <c r="C247" t="s">
        <v>1314</v>
      </c>
      <c r="D247">
        <v>18740.28</v>
      </c>
      <c r="E247">
        <v>22854</v>
      </c>
      <c r="F247">
        <v>2606</v>
      </c>
      <c r="G247" t="s">
        <v>159</v>
      </c>
      <c r="H247" t="s">
        <v>1082</v>
      </c>
      <c r="I247" t="s">
        <v>1315</v>
      </c>
      <c r="J247" t="s">
        <v>306</v>
      </c>
      <c r="K247" t="s">
        <v>307</v>
      </c>
      <c r="L247">
        <v>46243</v>
      </c>
      <c r="M247">
        <v>46243</v>
      </c>
      <c r="N247">
        <v>46243</v>
      </c>
      <c r="O247" t="s">
        <v>1208</v>
      </c>
      <c r="P247" t="s">
        <v>1209</v>
      </c>
      <c r="Q247" t="s">
        <v>328</v>
      </c>
      <c r="R247" t="s">
        <v>310</v>
      </c>
      <c r="S247" t="s">
        <v>209</v>
      </c>
      <c r="T247" t="s">
        <v>913</v>
      </c>
      <c r="U247">
        <v>779</v>
      </c>
      <c r="V247">
        <v>17934</v>
      </c>
      <c r="W247">
        <v>0</v>
      </c>
      <c r="X247">
        <v>4141</v>
      </c>
      <c r="Y247">
        <v>22854</v>
      </c>
      <c r="Z247">
        <v>0</v>
      </c>
      <c r="AA247" t="s">
        <v>204</v>
      </c>
      <c r="AB247">
        <v>22854</v>
      </c>
      <c r="AC247">
        <v>14169.48</v>
      </c>
      <c r="AE247">
        <v>9500</v>
      </c>
      <c r="AF247">
        <v>300</v>
      </c>
      <c r="AU247">
        <v>46245</v>
      </c>
      <c r="AV247">
        <v>46248</v>
      </c>
      <c r="AW247" t="s">
        <v>204</v>
      </c>
      <c r="AX247">
        <v>0</v>
      </c>
      <c r="AY247">
        <v>0</v>
      </c>
      <c r="AZ247" t="s">
        <v>313</v>
      </c>
      <c r="BD247">
        <v>2</v>
      </c>
      <c r="BE247">
        <v>5</v>
      </c>
      <c r="BF247" t="s">
        <v>314</v>
      </c>
      <c r="BG247" t="s">
        <v>153</v>
      </c>
      <c r="BH247">
        <v>17473.799999999996</v>
      </c>
      <c r="BI247">
        <v>46250</v>
      </c>
      <c r="BJ247">
        <v>7</v>
      </c>
      <c r="BK247">
        <v>5380.2</v>
      </c>
      <c r="BL247">
        <v>46269</v>
      </c>
      <c r="BM247">
        <v>26</v>
      </c>
      <c r="BN247">
        <v>22853.999999999996</v>
      </c>
      <c r="BO247">
        <v>0</v>
      </c>
      <c r="BP247" t="str">
        <f t="shared" si="3"/>
        <v>HAEMBB</v>
      </c>
    </row>
    <row r="248" spans="1:68" x14ac:dyDescent="0.25">
      <c r="A248" t="s">
        <v>1316</v>
      </c>
      <c r="B248" t="s">
        <v>1317</v>
      </c>
      <c r="C248" t="s">
        <v>1318</v>
      </c>
      <c r="D248">
        <v>22898.5</v>
      </c>
      <c r="E248">
        <v>27925</v>
      </c>
      <c r="F248">
        <v>2606</v>
      </c>
      <c r="G248" t="s">
        <v>159</v>
      </c>
      <c r="H248" t="s">
        <v>1082</v>
      </c>
      <c r="I248" t="s">
        <v>1319</v>
      </c>
      <c r="J248" t="s">
        <v>306</v>
      </c>
      <c r="K248" t="s">
        <v>307</v>
      </c>
      <c r="L248">
        <v>46227</v>
      </c>
      <c r="M248">
        <v>46227</v>
      </c>
      <c r="N248">
        <v>46227</v>
      </c>
      <c r="O248" t="s">
        <v>938</v>
      </c>
      <c r="P248" t="s">
        <v>939</v>
      </c>
      <c r="Q248" t="s">
        <v>328</v>
      </c>
      <c r="R248" t="s">
        <v>310</v>
      </c>
      <c r="S248" t="s">
        <v>206</v>
      </c>
      <c r="T248" t="s">
        <v>976</v>
      </c>
      <c r="U248">
        <v>779</v>
      </c>
      <c r="V248">
        <v>23005</v>
      </c>
      <c r="W248">
        <v>0</v>
      </c>
      <c r="X248">
        <v>4141</v>
      </c>
      <c r="Y248">
        <v>27925</v>
      </c>
      <c r="Z248">
        <v>0</v>
      </c>
      <c r="AA248" t="s">
        <v>204</v>
      </c>
      <c r="AB248">
        <v>27925</v>
      </c>
      <c r="AC248">
        <v>17313.5</v>
      </c>
      <c r="AD248">
        <v>12650</v>
      </c>
      <c r="AE248">
        <v>12350</v>
      </c>
      <c r="AF248">
        <v>300</v>
      </c>
      <c r="AG248">
        <v>0</v>
      </c>
      <c r="AH248" t="s">
        <v>312</v>
      </c>
      <c r="AI248" t="s">
        <v>312</v>
      </c>
      <c r="AJ248">
        <v>0</v>
      </c>
      <c r="AK248">
        <v>0</v>
      </c>
      <c r="AR248">
        <v>0</v>
      </c>
      <c r="AS248">
        <v>0</v>
      </c>
      <c r="AU248">
        <v>46235</v>
      </c>
      <c r="AV248">
        <v>46246</v>
      </c>
      <c r="AW248" t="s">
        <v>204</v>
      </c>
      <c r="AX248">
        <v>0</v>
      </c>
      <c r="AY248">
        <v>12650</v>
      </c>
      <c r="AZ248" t="s">
        <v>313</v>
      </c>
      <c r="BD248">
        <v>8</v>
      </c>
      <c r="BE248">
        <v>19</v>
      </c>
      <c r="BF248" t="s">
        <v>314</v>
      </c>
      <c r="BG248" t="s">
        <v>153</v>
      </c>
      <c r="BH248">
        <v>21023.499999999996</v>
      </c>
      <c r="BI248">
        <v>46234</v>
      </c>
      <c r="BJ248">
        <v>7</v>
      </c>
      <c r="BK248">
        <v>6901.5</v>
      </c>
      <c r="BL248">
        <v>46269</v>
      </c>
      <c r="BM248">
        <v>42</v>
      </c>
      <c r="BN248">
        <v>27924.999999999996</v>
      </c>
      <c r="BO248">
        <v>0</v>
      </c>
      <c r="BP248" t="str">
        <f t="shared" si="3"/>
        <v>HAEMBB</v>
      </c>
    </row>
    <row r="249" spans="1:68" x14ac:dyDescent="0.25">
      <c r="A249" t="s">
        <v>1320</v>
      </c>
      <c r="B249" t="s">
        <v>1321</v>
      </c>
      <c r="C249" t="s">
        <v>1322</v>
      </c>
      <c r="D249">
        <v>15873.56</v>
      </c>
      <c r="E249">
        <v>19358</v>
      </c>
      <c r="F249">
        <v>2606</v>
      </c>
      <c r="G249" t="s">
        <v>159</v>
      </c>
      <c r="H249" t="s">
        <v>1082</v>
      </c>
      <c r="I249" t="s">
        <v>1323</v>
      </c>
      <c r="J249" t="s">
        <v>306</v>
      </c>
      <c r="K249" t="s">
        <v>307</v>
      </c>
      <c r="N249">
        <v>0</v>
      </c>
      <c r="T249">
        <v>0</v>
      </c>
      <c r="U249">
        <v>779</v>
      </c>
      <c r="V249">
        <v>14438</v>
      </c>
      <c r="W249">
        <v>0</v>
      </c>
      <c r="X249">
        <v>4141</v>
      </c>
      <c r="Y249">
        <v>19358</v>
      </c>
      <c r="Z249">
        <v>0</v>
      </c>
      <c r="AA249" t="s">
        <v>204</v>
      </c>
      <c r="AB249">
        <v>19358</v>
      </c>
      <c r="AC249">
        <v>12001.96</v>
      </c>
      <c r="AW249" t="s">
        <v>204</v>
      </c>
      <c r="AX249">
        <v>0</v>
      </c>
      <c r="AY249">
        <v>0</v>
      </c>
      <c r="AZ249" t="s">
        <v>313</v>
      </c>
      <c r="BD249">
        <v>0</v>
      </c>
      <c r="BE249">
        <v>0</v>
      </c>
      <c r="BF249" t="s">
        <v>1057</v>
      </c>
      <c r="BG249" t="s">
        <v>153</v>
      </c>
      <c r="BH249">
        <v>0</v>
      </c>
      <c r="BJ249">
        <v>0</v>
      </c>
      <c r="BK249">
        <v>0</v>
      </c>
      <c r="BM249">
        <v>0</v>
      </c>
      <c r="BN249">
        <v>0</v>
      </c>
      <c r="BO249">
        <v>19358</v>
      </c>
      <c r="BP249" t="str">
        <f t="shared" si="3"/>
        <v>HAEMBB</v>
      </c>
    </row>
    <row r="250" spans="1:68" x14ac:dyDescent="0.25">
      <c r="A250" t="s">
        <v>1324</v>
      </c>
      <c r="B250" t="s">
        <v>1325</v>
      </c>
      <c r="C250" t="s">
        <v>1326</v>
      </c>
      <c r="D250">
        <v>20763.22</v>
      </c>
      <c r="E250">
        <v>25321</v>
      </c>
      <c r="F250">
        <v>2606</v>
      </c>
      <c r="G250" t="s">
        <v>159</v>
      </c>
      <c r="H250" t="s">
        <v>1082</v>
      </c>
      <c r="I250" t="s">
        <v>1327</v>
      </c>
      <c r="J250" t="s">
        <v>306</v>
      </c>
      <c r="K250" t="s">
        <v>307</v>
      </c>
      <c r="L250">
        <v>46231</v>
      </c>
      <c r="M250">
        <v>46231</v>
      </c>
      <c r="N250">
        <v>46231</v>
      </c>
      <c r="O250" t="s">
        <v>938</v>
      </c>
      <c r="P250" t="s">
        <v>939</v>
      </c>
      <c r="Q250" t="s">
        <v>328</v>
      </c>
      <c r="R250" t="s">
        <v>310</v>
      </c>
      <c r="S250" t="s">
        <v>209</v>
      </c>
      <c r="T250" t="s">
        <v>1070</v>
      </c>
      <c r="U250">
        <v>779</v>
      </c>
      <c r="V250">
        <v>20401</v>
      </c>
      <c r="W250">
        <v>0</v>
      </c>
      <c r="X250">
        <v>4141</v>
      </c>
      <c r="Y250">
        <v>25321</v>
      </c>
      <c r="Z250">
        <v>2095</v>
      </c>
      <c r="AA250">
        <v>46254</v>
      </c>
      <c r="AB250">
        <v>27416</v>
      </c>
      <c r="AC250">
        <v>15699.02</v>
      </c>
      <c r="AD250">
        <v>11750</v>
      </c>
      <c r="AE250">
        <v>11150</v>
      </c>
      <c r="AF250">
        <v>300</v>
      </c>
      <c r="AG250">
        <v>300</v>
      </c>
      <c r="AH250" t="s">
        <v>312</v>
      </c>
      <c r="AI250">
        <v>0</v>
      </c>
      <c r="AJ250">
        <v>0</v>
      </c>
      <c r="AK250">
        <v>0</v>
      </c>
      <c r="AR250">
        <v>0</v>
      </c>
      <c r="AS250">
        <v>0</v>
      </c>
      <c r="AU250">
        <v>46241</v>
      </c>
      <c r="AV250">
        <v>46243</v>
      </c>
      <c r="AW250" t="s">
        <v>204</v>
      </c>
      <c r="AX250">
        <v>0</v>
      </c>
      <c r="AY250">
        <v>11750</v>
      </c>
      <c r="AZ250" t="s">
        <v>313</v>
      </c>
      <c r="BD250">
        <v>10</v>
      </c>
      <c r="BE250">
        <v>12</v>
      </c>
      <c r="BF250" t="s">
        <v>314</v>
      </c>
      <c r="BG250" t="s">
        <v>153</v>
      </c>
      <c r="BH250">
        <v>19200.699999999997</v>
      </c>
      <c r="BI250">
        <v>46241</v>
      </c>
      <c r="BJ250">
        <v>10</v>
      </c>
      <c r="BK250">
        <v>6120.2999999999993</v>
      </c>
      <c r="BL250">
        <v>46262</v>
      </c>
      <c r="BM250">
        <v>31</v>
      </c>
      <c r="BN250">
        <v>25320.999999999996</v>
      </c>
      <c r="BO250">
        <v>2095.0000000000036</v>
      </c>
      <c r="BP250" t="str">
        <f t="shared" si="3"/>
        <v>HAEMBB</v>
      </c>
    </row>
    <row r="251" spans="1:68" x14ac:dyDescent="0.25">
      <c r="A251" t="s">
        <v>1328</v>
      </c>
      <c r="B251" t="s">
        <v>1329</v>
      </c>
      <c r="C251" t="s">
        <v>1330</v>
      </c>
      <c r="D251">
        <v>14851.84</v>
      </c>
      <c r="E251">
        <v>18112</v>
      </c>
      <c r="F251">
        <v>2606</v>
      </c>
      <c r="G251" t="s">
        <v>159</v>
      </c>
      <c r="H251" t="s">
        <v>1082</v>
      </c>
      <c r="I251" t="s">
        <v>1331</v>
      </c>
      <c r="J251" t="s">
        <v>306</v>
      </c>
      <c r="K251" t="s">
        <v>307</v>
      </c>
      <c r="L251">
        <v>46233</v>
      </c>
      <c r="M251">
        <v>46233</v>
      </c>
      <c r="N251">
        <v>46233</v>
      </c>
      <c r="O251" t="s">
        <v>326</v>
      </c>
      <c r="P251" t="s">
        <v>327</v>
      </c>
      <c r="Q251" t="s">
        <v>328</v>
      </c>
      <c r="R251" t="s">
        <v>310</v>
      </c>
      <c r="S251" t="s">
        <v>206</v>
      </c>
      <c r="T251" t="s">
        <v>1070</v>
      </c>
      <c r="U251">
        <v>779</v>
      </c>
      <c r="V251">
        <v>13192</v>
      </c>
      <c r="W251">
        <v>0</v>
      </c>
      <c r="X251">
        <v>4141</v>
      </c>
      <c r="Y251">
        <v>18112</v>
      </c>
      <c r="Z251">
        <v>0</v>
      </c>
      <c r="AA251" t="s">
        <v>204</v>
      </c>
      <c r="AB251">
        <v>18112</v>
      </c>
      <c r="AC251">
        <v>11229.44</v>
      </c>
      <c r="AD251">
        <v>8380</v>
      </c>
      <c r="AE251">
        <v>7780</v>
      </c>
      <c r="AF251">
        <v>300</v>
      </c>
      <c r="AG251">
        <v>300</v>
      </c>
      <c r="AH251" t="s">
        <v>312</v>
      </c>
      <c r="AI251" t="s">
        <v>312</v>
      </c>
      <c r="AJ251">
        <v>0</v>
      </c>
      <c r="AK251">
        <v>0</v>
      </c>
      <c r="AR251">
        <v>0</v>
      </c>
      <c r="AS251">
        <v>0</v>
      </c>
      <c r="AU251">
        <v>46234</v>
      </c>
      <c r="AV251">
        <v>46241</v>
      </c>
      <c r="AW251" t="s">
        <v>204</v>
      </c>
      <c r="AX251">
        <v>0</v>
      </c>
      <c r="AY251">
        <v>8380</v>
      </c>
      <c r="AZ251" t="s">
        <v>313</v>
      </c>
      <c r="BD251">
        <v>1</v>
      </c>
      <c r="BE251">
        <v>8</v>
      </c>
      <c r="BF251" t="s">
        <v>314</v>
      </c>
      <c r="BG251" t="s">
        <v>153</v>
      </c>
      <c r="BH251">
        <v>14154.4</v>
      </c>
      <c r="BI251">
        <v>46241</v>
      </c>
      <c r="BJ251">
        <v>8</v>
      </c>
      <c r="BK251">
        <v>3957.5999999999995</v>
      </c>
      <c r="BL251">
        <v>46269</v>
      </c>
      <c r="BM251">
        <v>36</v>
      </c>
      <c r="BN251">
        <v>18112</v>
      </c>
      <c r="BO251">
        <v>0</v>
      </c>
      <c r="BP251" t="str">
        <f t="shared" si="3"/>
        <v>HAEMBB</v>
      </c>
    </row>
    <row r="252" spans="1:68" x14ac:dyDescent="0.25">
      <c r="A252" t="s">
        <v>1332</v>
      </c>
      <c r="B252" t="s">
        <v>1333</v>
      </c>
      <c r="C252" t="s">
        <v>212</v>
      </c>
      <c r="D252">
        <v>21473.34</v>
      </c>
      <c r="E252">
        <v>26187</v>
      </c>
      <c r="F252">
        <v>2606</v>
      </c>
      <c r="G252" t="s">
        <v>159</v>
      </c>
      <c r="H252" t="s">
        <v>1082</v>
      </c>
      <c r="I252" t="s">
        <v>1334</v>
      </c>
      <c r="J252" t="s">
        <v>306</v>
      </c>
      <c r="K252" t="s">
        <v>307</v>
      </c>
      <c r="L252">
        <v>46255</v>
      </c>
      <c r="M252">
        <v>46255</v>
      </c>
      <c r="N252">
        <v>46255</v>
      </c>
      <c r="O252" t="s">
        <v>326</v>
      </c>
      <c r="P252" t="s">
        <v>327</v>
      </c>
      <c r="Q252" t="s">
        <v>328</v>
      </c>
      <c r="R252" t="s">
        <v>310</v>
      </c>
      <c r="S252" t="s">
        <v>209</v>
      </c>
      <c r="T252" t="s">
        <v>1241</v>
      </c>
      <c r="U252">
        <v>779</v>
      </c>
      <c r="V252">
        <v>21267</v>
      </c>
      <c r="W252">
        <v>0</v>
      </c>
      <c r="X252">
        <v>4141</v>
      </c>
      <c r="Y252">
        <v>26187</v>
      </c>
      <c r="Z252">
        <v>0</v>
      </c>
      <c r="AA252" t="s">
        <v>204</v>
      </c>
      <c r="AB252">
        <v>26187</v>
      </c>
      <c r="AC252">
        <v>16235.94</v>
      </c>
      <c r="AU252">
        <v>46257</v>
      </c>
      <c r="AV252">
        <v>46260</v>
      </c>
      <c r="AW252" t="s">
        <v>204</v>
      </c>
      <c r="AX252">
        <v>0</v>
      </c>
      <c r="AY252">
        <v>0</v>
      </c>
      <c r="AZ252" t="s">
        <v>313</v>
      </c>
      <c r="BD252">
        <v>2</v>
      </c>
      <c r="BE252">
        <v>5</v>
      </c>
      <c r="BF252" t="s">
        <v>314</v>
      </c>
      <c r="BG252" t="s">
        <v>153</v>
      </c>
      <c r="BH252">
        <v>779</v>
      </c>
      <c r="BI252">
        <v>46269</v>
      </c>
      <c r="BJ252">
        <v>14</v>
      </c>
      <c r="BK252">
        <v>0</v>
      </c>
      <c r="BN252">
        <v>779</v>
      </c>
      <c r="BO252">
        <v>25408</v>
      </c>
      <c r="BP252" t="str">
        <f t="shared" si="3"/>
        <v>HAEMBB</v>
      </c>
    </row>
    <row r="253" spans="1:68" x14ac:dyDescent="0.25">
      <c r="A253" t="s">
        <v>1335</v>
      </c>
      <c r="B253" t="s">
        <v>1336</v>
      </c>
      <c r="C253" t="s">
        <v>1337</v>
      </c>
      <c r="D253">
        <v>14851.84</v>
      </c>
      <c r="E253">
        <v>18112</v>
      </c>
      <c r="F253">
        <v>2606</v>
      </c>
      <c r="G253" t="s">
        <v>159</v>
      </c>
      <c r="H253" t="s">
        <v>1082</v>
      </c>
      <c r="I253" t="s">
        <v>1338</v>
      </c>
      <c r="J253" t="s">
        <v>306</v>
      </c>
      <c r="K253" t="s">
        <v>307</v>
      </c>
      <c r="L253">
        <v>46231</v>
      </c>
      <c r="M253">
        <v>46232</v>
      </c>
      <c r="N253">
        <v>46232</v>
      </c>
      <c r="O253" t="s">
        <v>326</v>
      </c>
      <c r="P253" t="s">
        <v>327</v>
      </c>
      <c r="Q253" t="s">
        <v>328</v>
      </c>
      <c r="R253" t="s">
        <v>310</v>
      </c>
      <c r="S253" t="s">
        <v>209</v>
      </c>
      <c r="T253" t="s">
        <v>1070</v>
      </c>
      <c r="U253">
        <v>779</v>
      </c>
      <c r="V253">
        <v>13192</v>
      </c>
      <c r="W253">
        <v>0</v>
      </c>
      <c r="X253">
        <v>4141</v>
      </c>
      <c r="Y253">
        <v>18112</v>
      </c>
      <c r="Z253">
        <v>0</v>
      </c>
      <c r="AA253" t="s">
        <v>204</v>
      </c>
      <c r="AB253">
        <v>18112</v>
      </c>
      <c r="AC253">
        <v>11229.44</v>
      </c>
      <c r="AD253">
        <v>7780</v>
      </c>
      <c r="AE253">
        <v>7480</v>
      </c>
      <c r="AF253">
        <v>300</v>
      </c>
      <c r="AG253">
        <v>0</v>
      </c>
      <c r="AH253" t="s">
        <v>312</v>
      </c>
      <c r="AI253" t="s">
        <v>312</v>
      </c>
      <c r="AJ253">
        <v>0</v>
      </c>
      <c r="AK253">
        <v>0</v>
      </c>
      <c r="AR253">
        <v>0</v>
      </c>
      <c r="AS253">
        <v>0</v>
      </c>
      <c r="AU253">
        <v>46239</v>
      </c>
      <c r="AV253">
        <v>46242</v>
      </c>
      <c r="AW253" t="s">
        <v>204</v>
      </c>
      <c r="AX253">
        <v>0</v>
      </c>
      <c r="AY253">
        <v>7780</v>
      </c>
      <c r="AZ253" t="s">
        <v>313</v>
      </c>
      <c r="BD253">
        <v>7</v>
      </c>
      <c r="BE253">
        <v>10</v>
      </c>
      <c r="BF253" t="s">
        <v>314</v>
      </c>
      <c r="BG253" t="s">
        <v>153</v>
      </c>
      <c r="BH253">
        <v>14154.400000000001</v>
      </c>
      <c r="BI253">
        <v>46241</v>
      </c>
      <c r="BJ253">
        <v>9</v>
      </c>
      <c r="BK253">
        <v>3957.5999999999995</v>
      </c>
      <c r="BL253">
        <v>46262</v>
      </c>
      <c r="BM253">
        <v>30</v>
      </c>
      <c r="BN253">
        <v>18112</v>
      </c>
      <c r="BO253">
        <v>0</v>
      </c>
      <c r="BP253" t="str">
        <f t="shared" si="3"/>
        <v>HAEMBB</v>
      </c>
    </row>
    <row r="254" spans="1:68" x14ac:dyDescent="0.25">
      <c r="A254" t="s">
        <v>1339</v>
      </c>
      <c r="B254" t="s">
        <v>1340</v>
      </c>
      <c r="C254" t="s">
        <v>1341</v>
      </c>
      <c r="D254">
        <v>18740.28</v>
      </c>
      <c r="E254">
        <v>22854</v>
      </c>
      <c r="F254">
        <v>2606</v>
      </c>
      <c r="G254" t="s">
        <v>159</v>
      </c>
      <c r="H254" t="s">
        <v>1082</v>
      </c>
      <c r="I254" t="s">
        <v>1342</v>
      </c>
      <c r="J254" t="s">
        <v>306</v>
      </c>
      <c r="K254" t="s">
        <v>307</v>
      </c>
      <c r="L254">
        <v>46243</v>
      </c>
      <c r="M254">
        <v>46243</v>
      </c>
      <c r="N254">
        <v>46243</v>
      </c>
      <c r="O254" t="s">
        <v>938</v>
      </c>
      <c r="P254" t="s">
        <v>939</v>
      </c>
      <c r="Q254" t="s">
        <v>328</v>
      </c>
      <c r="R254" t="s">
        <v>310</v>
      </c>
      <c r="S254" t="s">
        <v>209</v>
      </c>
      <c r="T254" t="s">
        <v>913</v>
      </c>
      <c r="U254">
        <v>779</v>
      </c>
      <c r="V254">
        <v>17934</v>
      </c>
      <c r="W254">
        <v>0</v>
      </c>
      <c r="X254">
        <v>4141</v>
      </c>
      <c r="Y254">
        <v>22854</v>
      </c>
      <c r="Z254">
        <v>0</v>
      </c>
      <c r="AA254" t="s">
        <v>204</v>
      </c>
      <c r="AB254">
        <v>22854</v>
      </c>
      <c r="AC254">
        <v>14169.48</v>
      </c>
      <c r="AE254">
        <v>9500</v>
      </c>
      <c r="AF254">
        <v>300</v>
      </c>
      <c r="AU254">
        <v>46246</v>
      </c>
      <c r="AV254">
        <v>46250</v>
      </c>
      <c r="AW254" t="s">
        <v>204</v>
      </c>
      <c r="AX254">
        <v>0</v>
      </c>
      <c r="AY254">
        <v>0</v>
      </c>
      <c r="AZ254" t="s">
        <v>313</v>
      </c>
      <c r="BD254">
        <v>3</v>
      </c>
      <c r="BE254">
        <v>7</v>
      </c>
      <c r="BF254" t="s">
        <v>314</v>
      </c>
      <c r="BG254" t="s">
        <v>153</v>
      </c>
      <c r="BH254">
        <v>17473.8</v>
      </c>
      <c r="BI254">
        <v>46250</v>
      </c>
      <c r="BJ254">
        <v>7</v>
      </c>
      <c r="BK254">
        <v>5380.2</v>
      </c>
      <c r="BL254">
        <v>46269</v>
      </c>
      <c r="BM254">
        <v>26</v>
      </c>
      <c r="BN254">
        <v>22854</v>
      </c>
      <c r="BO254">
        <v>0</v>
      </c>
      <c r="BP254" t="str">
        <f t="shared" si="3"/>
        <v>HAEMBB</v>
      </c>
    </row>
    <row r="255" spans="1:68" x14ac:dyDescent="0.25">
      <c r="A255" t="s">
        <v>1343</v>
      </c>
      <c r="B255" t="s">
        <v>1344</v>
      </c>
      <c r="C255" t="s">
        <v>1345</v>
      </c>
      <c r="D255">
        <v>22223.64</v>
      </c>
      <c r="E255">
        <v>27102</v>
      </c>
      <c r="F255">
        <v>2606</v>
      </c>
      <c r="G255" t="s">
        <v>159</v>
      </c>
      <c r="H255" t="s">
        <v>1082</v>
      </c>
      <c r="I255" t="s">
        <v>481</v>
      </c>
      <c r="J255" t="s">
        <v>306</v>
      </c>
      <c r="K255" t="s">
        <v>307</v>
      </c>
      <c r="L255">
        <v>46233</v>
      </c>
      <c r="M255">
        <v>46233</v>
      </c>
      <c r="N255">
        <v>46233</v>
      </c>
      <c r="O255" t="s">
        <v>938</v>
      </c>
      <c r="P255" t="s">
        <v>939</v>
      </c>
      <c r="Q255" t="s">
        <v>328</v>
      </c>
      <c r="R255" t="s">
        <v>310</v>
      </c>
      <c r="S255" t="s">
        <v>209</v>
      </c>
      <c r="T255" t="s">
        <v>1070</v>
      </c>
      <c r="U255">
        <v>779</v>
      </c>
      <c r="V255">
        <v>22182</v>
      </c>
      <c r="W255">
        <v>0</v>
      </c>
      <c r="X255">
        <v>4141</v>
      </c>
      <c r="Y255">
        <v>27102</v>
      </c>
      <c r="Z255">
        <v>0</v>
      </c>
      <c r="AA255" t="s">
        <v>204</v>
      </c>
      <c r="AB255">
        <v>27102</v>
      </c>
      <c r="AC255">
        <v>16803.240000000002</v>
      </c>
      <c r="AD255">
        <v>12000</v>
      </c>
      <c r="AE255">
        <v>11700</v>
      </c>
      <c r="AF255">
        <v>300</v>
      </c>
      <c r="AG255">
        <v>0</v>
      </c>
      <c r="AH255" t="s">
        <v>312</v>
      </c>
      <c r="AI255" t="s">
        <v>312</v>
      </c>
      <c r="AJ255">
        <v>0</v>
      </c>
      <c r="AK255">
        <v>0</v>
      </c>
      <c r="AR255">
        <v>0</v>
      </c>
      <c r="AS255">
        <v>0</v>
      </c>
      <c r="AU255">
        <v>46245</v>
      </c>
      <c r="AV255">
        <v>46249</v>
      </c>
      <c r="AW255" t="s">
        <v>204</v>
      </c>
      <c r="AX255">
        <v>0</v>
      </c>
      <c r="AY255">
        <v>12000</v>
      </c>
      <c r="AZ255" t="s">
        <v>313</v>
      </c>
      <c r="BD255">
        <v>12</v>
      </c>
      <c r="BE255">
        <v>16</v>
      </c>
      <c r="BF255" t="s">
        <v>314</v>
      </c>
      <c r="BG255" t="s">
        <v>153</v>
      </c>
      <c r="BH255">
        <v>20447.400000000001</v>
      </c>
      <c r="BI255">
        <v>46241</v>
      </c>
      <c r="BJ255">
        <v>8</v>
      </c>
      <c r="BK255">
        <v>6654.6</v>
      </c>
      <c r="BL255">
        <v>46269</v>
      </c>
      <c r="BM255">
        <v>36</v>
      </c>
      <c r="BN255">
        <v>27102</v>
      </c>
      <c r="BO255">
        <v>0</v>
      </c>
      <c r="BP255" t="str">
        <f t="shared" si="3"/>
        <v>HAEMBB</v>
      </c>
    </row>
    <row r="256" spans="1:68" x14ac:dyDescent="0.25">
      <c r="A256" t="s">
        <v>1346</v>
      </c>
      <c r="B256" t="s">
        <v>1347</v>
      </c>
      <c r="C256" t="s">
        <v>1348</v>
      </c>
      <c r="D256">
        <v>12209.8</v>
      </c>
      <c r="E256">
        <v>14890</v>
      </c>
      <c r="F256">
        <v>2608</v>
      </c>
      <c r="G256" t="s">
        <v>159</v>
      </c>
      <c r="H256" t="s">
        <v>1349</v>
      </c>
      <c r="I256" t="s">
        <v>1350</v>
      </c>
      <c r="J256" t="s">
        <v>306</v>
      </c>
      <c r="K256" t="s">
        <v>307</v>
      </c>
      <c r="L256">
        <v>46243</v>
      </c>
      <c r="M256">
        <v>46243</v>
      </c>
      <c r="N256">
        <v>46243</v>
      </c>
      <c r="O256" t="s">
        <v>318</v>
      </c>
      <c r="P256" t="s">
        <v>204</v>
      </c>
      <c r="Q256" t="s">
        <v>309</v>
      </c>
      <c r="R256" t="s">
        <v>310</v>
      </c>
      <c r="S256" t="s">
        <v>206</v>
      </c>
      <c r="T256" t="s">
        <v>913</v>
      </c>
      <c r="U256">
        <v>779</v>
      </c>
      <c r="V256">
        <v>12558</v>
      </c>
      <c r="W256">
        <v>0</v>
      </c>
      <c r="X256">
        <v>1553</v>
      </c>
      <c r="Y256">
        <v>14890</v>
      </c>
      <c r="Z256">
        <v>0</v>
      </c>
      <c r="AA256" t="s">
        <v>204</v>
      </c>
      <c r="AB256">
        <v>14890</v>
      </c>
      <c r="AC256">
        <v>9231.7999999999993</v>
      </c>
      <c r="AE256">
        <v>300</v>
      </c>
      <c r="AU256">
        <v>46244</v>
      </c>
      <c r="AV256">
        <v>46250</v>
      </c>
      <c r="AW256" t="s">
        <v>204</v>
      </c>
      <c r="AX256">
        <v>0</v>
      </c>
      <c r="AY256">
        <v>0</v>
      </c>
      <c r="AZ256" t="s">
        <v>313</v>
      </c>
      <c r="BD256">
        <v>1</v>
      </c>
      <c r="BE256">
        <v>7</v>
      </c>
      <c r="BF256" t="s">
        <v>314</v>
      </c>
      <c r="BG256" t="s">
        <v>153</v>
      </c>
      <c r="BH256">
        <v>11122.599999999999</v>
      </c>
      <c r="BI256">
        <v>46250</v>
      </c>
      <c r="BJ256">
        <v>7</v>
      </c>
      <c r="BK256">
        <v>3767.3999999999996</v>
      </c>
      <c r="BL256">
        <v>46269</v>
      </c>
      <c r="BM256">
        <v>26</v>
      </c>
      <c r="BN256">
        <v>14889.999999999998</v>
      </c>
      <c r="BO256">
        <v>0</v>
      </c>
      <c r="BP256" t="str">
        <f t="shared" si="3"/>
        <v>HAEMBB</v>
      </c>
    </row>
    <row r="257" spans="1:68" x14ac:dyDescent="0.25">
      <c r="A257" t="s">
        <v>1351</v>
      </c>
      <c r="B257" t="s">
        <v>1352</v>
      </c>
      <c r="C257" t="s">
        <v>213</v>
      </c>
      <c r="D257">
        <v>19311.82</v>
      </c>
      <c r="E257">
        <v>23551</v>
      </c>
      <c r="F257">
        <v>2606</v>
      </c>
      <c r="G257" t="s">
        <v>159</v>
      </c>
      <c r="H257" t="s">
        <v>1082</v>
      </c>
      <c r="I257" t="s">
        <v>1353</v>
      </c>
      <c r="J257" t="s">
        <v>306</v>
      </c>
      <c r="K257" t="s">
        <v>307</v>
      </c>
      <c r="L257">
        <v>46256</v>
      </c>
      <c r="M257">
        <v>46256</v>
      </c>
      <c r="N257">
        <v>46256</v>
      </c>
      <c r="O257" t="s">
        <v>938</v>
      </c>
      <c r="P257" t="s">
        <v>939</v>
      </c>
      <c r="Q257" t="s">
        <v>328</v>
      </c>
      <c r="R257" t="s">
        <v>310</v>
      </c>
      <c r="S257" t="s">
        <v>211</v>
      </c>
      <c r="T257" t="s">
        <v>1241</v>
      </c>
      <c r="U257">
        <v>779</v>
      </c>
      <c r="V257">
        <v>18631</v>
      </c>
      <c r="W257">
        <v>0</v>
      </c>
      <c r="X257">
        <v>4141</v>
      </c>
      <c r="Y257">
        <v>23551</v>
      </c>
      <c r="Z257">
        <v>0</v>
      </c>
      <c r="AA257" t="s">
        <v>204</v>
      </c>
      <c r="AB257">
        <v>23551</v>
      </c>
      <c r="AC257">
        <v>14601.62</v>
      </c>
      <c r="AU257">
        <v>46258</v>
      </c>
      <c r="AV257">
        <v>46259</v>
      </c>
      <c r="AW257" t="s">
        <v>204</v>
      </c>
      <c r="AX257">
        <v>0</v>
      </c>
      <c r="AY257">
        <v>0</v>
      </c>
      <c r="AZ257" t="s">
        <v>313</v>
      </c>
      <c r="BD257">
        <v>2</v>
      </c>
      <c r="BE257">
        <v>3</v>
      </c>
      <c r="BF257" t="s">
        <v>314</v>
      </c>
      <c r="BG257" t="s">
        <v>153</v>
      </c>
      <c r="BH257">
        <v>16217.3</v>
      </c>
      <c r="BI257">
        <v>46255</v>
      </c>
      <c r="BJ257">
        <v>-1</v>
      </c>
      <c r="BK257">
        <v>0</v>
      </c>
      <c r="BN257">
        <v>16217.3</v>
      </c>
      <c r="BO257">
        <v>7333.7000000000007</v>
      </c>
      <c r="BP257" t="str">
        <f t="shared" si="3"/>
        <v>HAEMBB</v>
      </c>
    </row>
    <row r="258" spans="1:68" x14ac:dyDescent="0.25">
      <c r="A258" t="s">
        <v>1354</v>
      </c>
      <c r="B258" t="s">
        <v>1355</v>
      </c>
      <c r="C258" t="s">
        <v>215</v>
      </c>
      <c r="D258">
        <v>16820.66</v>
      </c>
      <c r="E258">
        <v>20513</v>
      </c>
      <c r="F258">
        <v>2606</v>
      </c>
      <c r="G258" t="s">
        <v>159</v>
      </c>
      <c r="H258" t="s">
        <v>1082</v>
      </c>
      <c r="I258" t="s">
        <v>1356</v>
      </c>
      <c r="J258" t="s">
        <v>306</v>
      </c>
      <c r="K258" t="s">
        <v>307</v>
      </c>
      <c r="L258">
        <v>46245</v>
      </c>
      <c r="M258">
        <v>46245</v>
      </c>
      <c r="N258">
        <v>46245</v>
      </c>
      <c r="O258" t="s">
        <v>938</v>
      </c>
      <c r="P258" t="s">
        <v>939</v>
      </c>
      <c r="Q258" t="s">
        <v>328</v>
      </c>
      <c r="R258" t="s">
        <v>310</v>
      </c>
      <c r="S258" t="s">
        <v>206</v>
      </c>
      <c r="T258" t="s">
        <v>1259</v>
      </c>
      <c r="U258">
        <v>779</v>
      </c>
      <c r="V258">
        <v>15593</v>
      </c>
      <c r="W258">
        <v>0</v>
      </c>
      <c r="X258">
        <v>4141</v>
      </c>
      <c r="Y258">
        <v>20513</v>
      </c>
      <c r="Z258">
        <v>0</v>
      </c>
      <c r="AA258" t="s">
        <v>204</v>
      </c>
      <c r="AB258">
        <v>20513</v>
      </c>
      <c r="AC258">
        <v>12718.06</v>
      </c>
      <c r="AE258">
        <v>8690</v>
      </c>
      <c r="AF258">
        <v>300</v>
      </c>
      <c r="AU258">
        <v>46251</v>
      </c>
      <c r="AV258">
        <v>46256</v>
      </c>
      <c r="AW258" t="s">
        <v>204</v>
      </c>
      <c r="AX258">
        <v>0</v>
      </c>
      <c r="AY258">
        <v>0</v>
      </c>
      <c r="AZ258" t="s">
        <v>313</v>
      </c>
      <c r="BD258">
        <v>6</v>
      </c>
      <c r="BE258">
        <v>11</v>
      </c>
      <c r="BF258" t="s">
        <v>314</v>
      </c>
      <c r="BG258" t="s">
        <v>153</v>
      </c>
      <c r="BH258">
        <v>15835.1</v>
      </c>
      <c r="BI258">
        <v>46262</v>
      </c>
      <c r="BJ258">
        <v>17</v>
      </c>
      <c r="BK258">
        <v>0</v>
      </c>
      <c r="BN258">
        <v>15835.1</v>
      </c>
      <c r="BO258">
        <v>4677.8999999999996</v>
      </c>
      <c r="BP258" t="str">
        <f t="shared" si="3"/>
        <v>HAEMBB</v>
      </c>
    </row>
    <row r="259" spans="1:68" x14ac:dyDescent="0.25">
      <c r="A259" t="s">
        <v>1357</v>
      </c>
      <c r="B259" t="s">
        <v>1358</v>
      </c>
      <c r="C259" t="s">
        <v>1359</v>
      </c>
      <c r="D259">
        <v>17894.04</v>
      </c>
      <c r="E259">
        <v>21822</v>
      </c>
      <c r="F259">
        <v>2607</v>
      </c>
      <c r="G259" t="s">
        <v>152</v>
      </c>
      <c r="H259" t="s">
        <v>1178</v>
      </c>
      <c r="I259" t="s">
        <v>1360</v>
      </c>
      <c r="J259" t="s">
        <v>306</v>
      </c>
      <c r="K259" t="s">
        <v>307</v>
      </c>
      <c r="L259">
        <v>46218</v>
      </c>
      <c r="M259">
        <v>46219</v>
      </c>
      <c r="N259">
        <v>46219</v>
      </c>
      <c r="O259" t="s">
        <v>487</v>
      </c>
      <c r="P259" t="s">
        <v>204</v>
      </c>
      <c r="Q259" t="s">
        <v>309</v>
      </c>
      <c r="R259" t="s">
        <v>903</v>
      </c>
      <c r="S259" t="s">
        <v>1180</v>
      </c>
      <c r="T259" t="s">
        <v>890</v>
      </c>
      <c r="U259">
        <v>0</v>
      </c>
      <c r="V259">
        <v>17093</v>
      </c>
      <c r="W259">
        <v>0</v>
      </c>
      <c r="X259">
        <v>4729</v>
      </c>
      <c r="Y259">
        <v>21822</v>
      </c>
      <c r="Z259">
        <v>0</v>
      </c>
      <c r="AA259" t="s">
        <v>204</v>
      </c>
      <c r="AB259">
        <v>21822</v>
      </c>
      <c r="AC259">
        <v>13529.64</v>
      </c>
      <c r="AD259">
        <v>0</v>
      </c>
      <c r="AE259">
        <v>0</v>
      </c>
      <c r="AF259">
        <v>0</v>
      </c>
      <c r="AG259">
        <v>0</v>
      </c>
      <c r="AH259" t="s">
        <v>312</v>
      </c>
      <c r="AI259" t="s">
        <v>312</v>
      </c>
      <c r="AJ259" t="s">
        <v>312</v>
      </c>
      <c r="AK259">
        <v>0</v>
      </c>
      <c r="AR259">
        <v>0</v>
      </c>
      <c r="AS259">
        <v>0</v>
      </c>
      <c r="AU259">
        <v>46226</v>
      </c>
      <c r="AV259">
        <v>46227</v>
      </c>
      <c r="AW259" t="s">
        <v>204</v>
      </c>
      <c r="AX259">
        <v>0</v>
      </c>
      <c r="AY259">
        <v>0</v>
      </c>
      <c r="AZ259" t="s">
        <v>313</v>
      </c>
      <c r="BD259">
        <v>7</v>
      </c>
      <c r="BE259">
        <v>8</v>
      </c>
      <c r="BF259" t="s">
        <v>314</v>
      </c>
      <c r="BG259" t="s">
        <v>153</v>
      </c>
      <c r="BH259">
        <v>16694.099999999999</v>
      </c>
      <c r="BI259">
        <v>46234</v>
      </c>
      <c r="BJ259">
        <v>15</v>
      </c>
      <c r="BK259">
        <v>5127.8999999999996</v>
      </c>
      <c r="BL259">
        <v>46255</v>
      </c>
      <c r="BM259">
        <v>36</v>
      </c>
      <c r="BN259">
        <v>21822</v>
      </c>
      <c r="BO259">
        <v>0</v>
      </c>
      <c r="BP259" t="str">
        <f t="shared" si="3"/>
        <v>TMEMBB</v>
      </c>
    </row>
    <row r="260" spans="1:68" x14ac:dyDescent="0.25">
      <c r="A260" t="s">
        <v>1361</v>
      </c>
      <c r="B260" t="s">
        <v>1362</v>
      </c>
      <c r="C260" t="s">
        <v>1363</v>
      </c>
      <c r="D260">
        <v>17681.66</v>
      </c>
      <c r="E260">
        <v>21563</v>
      </c>
      <c r="F260">
        <v>2607</v>
      </c>
      <c r="G260" t="s">
        <v>152</v>
      </c>
      <c r="H260" t="s">
        <v>1178</v>
      </c>
      <c r="I260" t="s">
        <v>1364</v>
      </c>
      <c r="J260" t="s">
        <v>306</v>
      </c>
      <c r="K260" t="s">
        <v>307</v>
      </c>
      <c r="L260">
        <v>46212</v>
      </c>
      <c r="M260">
        <v>46213</v>
      </c>
      <c r="N260">
        <v>46213</v>
      </c>
      <c r="O260" t="s">
        <v>487</v>
      </c>
      <c r="P260" t="s">
        <v>204</v>
      </c>
      <c r="Q260" t="s">
        <v>309</v>
      </c>
      <c r="R260" t="s">
        <v>903</v>
      </c>
      <c r="S260" t="s">
        <v>1180</v>
      </c>
      <c r="T260" t="s">
        <v>885</v>
      </c>
      <c r="U260">
        <v>0</v>
      </c>
      <c r="V260">
        <v>21028</v>
      </c>
      <c r="W260">
        <v>0</v>
      </c>
      <c r="X260">
        <v>4729</v>
      </c>
      <c r="Y260">
        <v>25757</v>
      </c>
      <c r="Z260">
        <v>1500</v>
      </c>
      <c r="AA260">
        <v>46254</v>
      </c>
      <c r="AB260">
        <v>27257</v>
      </c>
      <c r="AC260">
        <v>13369.06</v>
      </c>
      <c r="AD260">
        <v>0</v>
      </c>
      <c r="AE260">
        <v>0</v>
      </c>
      <c r="AF260">
        <v>0</v>
      </c>
      <c r="AG260">
        <v>0</v>
      </c>
      <c r="AH260" t="s">
        <v>312</v>
      </c>
      <c r="AI260" t="s">
        <v>312</v>
      </c>
      <c r="AJ260" t="s">
        <v>312</v>
      </c>
      <c r="AK260">
        <v>0</v>
      </c>
      <c r="AR260">
        <v>0</v>
      </c>
      <c r="AS260">
        <v>0</v>
      </c>
      <c r="AU260">
        <v>46225</v>
      </c>
      <c r="AV260">
        <v>46227</v>
      </c>
      <c r="AW260" t="s">
        <v>204</v>
      </c>
      <c r="AX260">
        <v>0</v>
      </c>
      <c r="AY260">
        <v>0</v>
      </c>
      <c r="AZ260" t="s">
        <v>313</v>
      </c>
      <c r="BD260">
        <v>12</v>
      </c>
      <c r="BE260">
        <v>14</v>
      </c>
      <c r="BF260" t="s">
        <v>314</v>
      </c>
      <c r="BG260" t="s">
        <v>153</v>
      </c>
      <c r="BH260">
        <v>19448.599999999999</v>
      </c>
      <c r="BI260">
        <v>46234</v>
      </c>
      <c r="BJ260">
        <v>21</v>
      </c>
      <c r="BK260">
        <v>6308.4</v>
      </c>
      <c r="BL260">
        <v>46255</v>
      </c>
      <c r="BM260">
        <v>42</v>
      </c>
      <c r="BN260">
        <v>25757</v>
      </c>
      <c r="BO260">
        <v>1500</v>
      </c>
      <c r="BP260" t="str">
        <f t="shared" ref="BP260:BP323" si="4">G260&amp;BG260</f>
        <v>TMEMBB</v>
      </c>
    </row>
    <row r="261" spans="1:68" x14ac:dyDescent="0.25">
      <c r="A261" t="s">
        <v>1365</v>
      </c>
      <c r="B261" t="s">
        <v>1366</v>
      </c>
      <c r="C261" t="s">
        <v>1367</v>
      </c>
      <c r="D261">
        <v>17407.78</v>
      </c>
      <c r="E261">
        <v>21229</v>
      </c>
      <c r="F261">
        <v>2607</v>
      </c>
      <c r="G261" t="s">
        <v>152</v>
      </c>
      <c r="H261" t="s">
        <v>1178</v>
      </c>
      <c r="I261" t="s">
        <v>1368</v>
      </c>
      <c r="J261" t="s">
        <v>306</v>
      </c>
      <c r="K261" t="s">
        <v>307</v>
      </c>
      <c r="L261">
        <v>46214</v>
      </c>
      <c r="M261">
        <v>46215</v>
      </c>
      <c r="N261">
        <v>46215</v>
      </c>
      <c r="O261" t="s">
        <v>487</v>
      </c>
      <c r="P261" t="s">
        <v>204</v>
      </c>
      <c r="Q261" t="s">
        <v>309</v>
      </c>
      <c r="R261" t="s">
        <v>903</v>
      </c>
      <c r="S261" t="s">
        <v>1180</v>
      </c>
      <c r="T261" t="s">
        <v>885</v>
      </c>
      <c r="U261">
        <v>0</v>
      </c>
      <c r="V261">
        <v>20694</v>
      </c>
      <c r="W261">
        <v>0</v>
      </c>
      <c r="X261">
        <v>4729</v>
      </c>
      <c r="Y261">
        <v>25423</v>
      </c>
      <c r="Z261">
        <v>2910</v>
      </c>
      <c r="AA261">
        <v>46254</v>
      </c>
      <c r="AB261">
        <v>28333</v>
      </c>
      <c r="AC261">
        <v>13161.98</v>
      </c>
      <c r="AD261">
        <v>0</v>
      </c>
      <c r="AE261">
        <v>0</v>
      </c>
      <c r="AF261">
        <v>0</v>
      </c>
      <c r="AG261">
        <v>0</v>
      </c>
      <c r="AH261" t="s">
        <v>312</v>
      </c>
      <c r="AI261" t="s">
        <v>312</v>
      </c>
      <c r="AJ261" t="s">
        <v>312</v>
      </c>
      <c r="AK261">
        <v>0</v>
      </c>
      <c r="AR261">
        <v>0</v>
      </c>
      <c r="AS261">
        <v>0</v>
      </c>
      <c r="AU261">
        <v>46227</v>
      </c>
      <c r="AV261">
        <v>46228</v>
      </c>
      <c r="AW261" t="s">
        <v>204</v>
      </c>
      <c r="AX261">
        <v>0</v>
      </c>
      <c r="AY261">
        <v>0</v>
      </c>
      <c r="AZ261" t="s">
        <v>313</v>
      </c>
      <c r="BD261">
        <v>12</v>
      </c>
      <c r="BE261">
        <v>13</v>
      </c>
      <c r="BF261" t="s">
        <v>314</v>
      </c>
      <c r="BG261" t="s">
        <v>153</v>
      </c>
      <c r="BH261">
        <v>19214.8</v>
      </c>
      <c r="BI261">
        <v>46234</v>
      </c>
      <c r="BJ261">
        <v>19</v>
      </c>
      <c r="BK261">
        <v>6208.2</v>
      </c>
      <c r="BL261">
        <v>46255</v>
      </c>
      <c r="BM261">
        <v>40</v>
      </c>
      <c r="BN261">
        <v>25423</v>
      </c>
      <c r="BO261">
        <v>2910</v>
      </c>
      <c r="BP261" t="str">
        <f t="shared" si="4"/>
        <v>TMEMBB</v>
      </c>
    </row>
    <row r="262" spans="1:68" x14ac:dyDescent="0.25">
      <c r="A262" t="s">
        <v>1369</v>
      </c>
      <c r="B262" t="s">
        <v>1370</v>
      </c>
      <c r="C262" t="s">
        <v>1371</v>
      </c>
      <c r="D262">
        <v>26708.22</v>
      </c>
      <c r="E262">
        <v>32571</v>
      </c>
      <c r="F262">
        <v>2607</v>
      </c>
      <c r="G262" t="s">
        <v>152</v>
      </c>
      <c r="H262" t="s">
        <v>1178</v>
      </c>
      <c r="I262" t="s">
        <v>1372</v>
      </c>
      <c r="J262" t="s">
        <v>306</v>
      </c>
      <c r="K262" t="s">
        <v>307</v>
      </c>
      <c r="L262">
        <v>46217</v>
      </c>
      <c r="M262">
        <v>46221</v>
      </c>
      <c r="N262">
        <v>46221</v>
      </c>
      <c r="O262" t="s">
        <v>487</v>
      </c>
      <c r="P262" t="s">
        <v>204</v>
      </c>
      <c r="Q262" t="s">
        <v>309</v>
      </c>
      <c r="R262" t="s">
        <v>903</v>
      </c>
      <c r="S262" t="s">
        <v>1180</v>
      </c>
      <c r="T262" t="s">
        <v>890</v>
      </c>
      <c r="U262">
        <v>0</v>
      </c>
      <c r="V262">
        <v>32036</v>
      </c>
      <c r="W262">
        <v>0</v>
      </c>
      <c r="X262">
        <v>4729</v>
      </c>
      <c r="Y262">
        <v>36765</v>
      </c>
      <c r="Z262">
        <v>0</v>
      </c>
      <c r="AA262" t="s">
        <v>204</v>
      </c>
      <c r="AB262">
        <v>36765</v>
      </c>
      <c r="AC262">
        <v>20194.02</v>
      </c>
      <c r="AD262">
        <v>0</v>
      </c>
      <c r="AE262">
        <v>0</v>
      </c>
      <c r="AF262">
        <v>0</v>
      </c>
      <c r="AG262">
        <v>0</v>
      </c>
      <c r="AH262" t="s">
        <v>312</v>
      </c>
      <c r="AI262" t="s">
        <v>312</v>
      </c>
      <c r="AJ262" t="s">
        <v>312</v>
      </c>
      <c r="AK262">
        <v>0</v>
      </c>
      <c r="AR262">
        <v>0</v>
      </c>
      <c r="AS262">
        <v>0</v>
      </c>
      <c r="AU262">
        <v>46227</v>
      </c>
      <c r="AV262">
        <v>46227</v>
      </c>
      <c r="AW262" t="s">
        <v>204</v>
      </c>
      <c r="AX262">
        <v>0</v>
      </c>
      <c r="AY262">
        <v>0</v>
      </c>
      <c r="AZ262" t="s">
        <v>313</v>
      </c>
      <c r="BD262">
        <v>6</v>
      </c>
      <c r="BE262">
        <v>6</v>
      </c>
      <c r="BF262" t="s">
        <v>314</v>
      </c>
      <c r="BG262" t="s">
        <v>153</v>
      </c>
      <c r="BH262">
        <v>24453.599999999999</v>
      </c>
      <c r="BI262">
        <v>46234</v>
      </c>
      <c r="BJ262">
        <v>13</v>
      </c>
      <c r="BK262">
        <v>8453.4000000000015</v>
      </c>
      <c r="BL262">
        <v>46255</v>
      </c>
      <c r="BM262">
        <v>34</v>
      </c>
      <c r="BN262">
        <v>32907</v>
      </c>
      <c r="BO262">
        <v>3858</v>
      </c>
      <c r="BP262" t="str">
        <f t="shared" si="4"/>
        <v>TMEMBB</v>
      </c>
    </row>
    <row r="263" spans="1:68" x14ac:dyDescent="0.25">
      <c r="A263" t="s">
        <v>1373</v>
      </c>
      <c r="B263" t="s">
        <v>1374</v>
      </c>
      <c r="C263" t="s">
        <v>1375</v>
      </c>
      <c r="D263">
        <v>10310.68</v>
      </c>
      <c r="E263">
        <v>12574</v>
      </c>
      <c r="F263">
        <v>2608</v>
      </c>
      <c r="G263" t="s">
        <v>159</v>
      </c>
      <c r="H263" t="s">
        <v>1349</v>
      </c>
      <c r="I263" t="s">
        <v>1376</v>
      </c>
      <c r="J263" t="s">
        <v>306</v>
      </c>
      <c r="K263" t="s">
        <v>307</v>
      </c>
      <c r="L263">
        <v>46238</v>
      </c>
      <c r="M263">
        <v>46238</v>
      </c>
      <c r="N263">
        <v>46238</v>
      </c>
      <c r="O263" t="s">
        <v>326</v>
      </c>
      <c r="P263" t="s">
        <v>327</v>
      </c>
      <c r="Q263" t="s">
        <v>328</v>
      </c>
      <c r="R263" t="s">
        <v>310</v>
      </c>
      <c r="S263" t="s">
        <v>206</v>
      </c>
      <c r="T263" t="s">
        <v>913</v>
      </c>
      <c r="U263">
        <v>779</v>
      </c>
      <c r="V263">
        <v>10242</v>
      </c>
      <c r="W263">
        <v>0</v>
      </c>
      <c r="X263">
        <v>1553</v>
      </c>
      <c r="Y263">
        <v>12574</v>
      </c>
      <c r="Z263">
        <v>0</v>
      </c>
      <c r="AA263" t="s">
        <v>204</v>
      </c>
      <c r="AB263">
        <v>12574</v>
      </c>
      <c r="AC263">
        <v>7795.88</v>
      </c>
      <c r="AE263">
        <v>6510</v>
      </c>
      <c r="AF263">
        <v>300</v>
      </c>
      <c r="AU263">
        <v>46239</v>
      </c>
      <c r="AV263">
        <v>46241</v>
      </c>
      <c r="AW263" t="s">
        <v>204</v>
      </c>
      <c r="AX263">
        <v>0</v>
      </c>
      <c r="AY263">
        <v>0</v>
      </c>
      <c r="AZ263" t="s">
        <v>313</v>
      </c>
      <c r="BD263">
        <v>1</v>
      </c>
      <c r="BE263">
        <v>3</v>
      </c>
      <c r="BF263" t="s">
        <v>314</v>
      </c>
      <c r="BG263" t="s">
        <v>153</v>
      </c>
      <c r="BH263">
        <v>9501.4</v>
      </c>
      <c r="BI263">
        <v>46250</v>
      </c>
      <c r="BJ263">
        <v>12</v>
      </c>
      <c r="BK263">
        <v>3072.6</v>
      </c>
      <c r="BL263">
        <v>46262</v>
      </c>
      <c r="BM263">
        <v>24</v>
      </c>
      <c r="BN263">
        <v>12574</v>
      </c>
      <c r="BO263">
        <v>0</v>
      </c>
      <c r="BP263" t="str">
        <f t="shared" si="4"/>
        <v>HAEMBB</v>
      </c>
    </row>
    <row r="264" spans="1:68" x14ac:dyDescent="0.25">
      <c r="A264" t="s">
        <v>1377</v>
      </c>
      <c r="B264" t="s">
        <v>1378</v>
      </c>
      <c r="C264" t="s">
        <v>1379</v>
      </c>
      <c r="D264">
        <v>18740.280000000002</v>
      </c>
      <c r="E264">
        <v>22854</v>
      </c>
      <c r="F264">
        <v>2608</v>
      </c>
      <c r="G264" t="s">
        <v>159</v>
      </c>
      <c r="H264" t="s">
        <v>1349</v>
      </c>
      <c r="I264" t="s">
        <v>1380</v>
      </c>
      <c r="J264" t="s">
        <v>306</v>
      </c>
      <c r="K264" t="s">
        <v>307</v>
      </c>
      <c r="L264">
        <v>46239</v>
      </c>
      <c r="M264">
        <v>46239</v>
      </c>
      <c r="N264">
        <v>46239</v>
      </c>
      <c r="O264" t="s">
        <v>326</v>
      </c>
      <c r="P264" t="s">
        <v>327</v>
      </c>
      <c r="Q264" t="s">
        <v>328</v>
      </c>
      <c r="R264" t="s">
        <v>310</v>
      </c>
      <c r="S264" t="s">
        <v>209</v>
      </c>
      <c r="T264" t="s">
        <v>913</v>
      </c>
      <c r="U264">
        <v>779</v>
      </c>
      <c r="V264">
        <v>17934</v>
      </c>
      <c r="W264">
        <v>0</v>
      </c>
      <c r="X264">
        <v>4141</v>
      </c>
      <c r="Y264">
        <v>22854</v>
      </c>
      <c r="Z264">
        <v>0</v>
      </c>
      <c r="AA264" t="s">
        <v>204</v>
      </c>
      <c r="AB264">
        <v>22854</v>
      </c>
      <c r="AC264">
        <v>14169.48</v>
      </c>
      <c r="AE264">
        <v>9800</v>
      </c>
      <c r="AF264">
        <v>300</v>
      </c>
      <c r="AU264">
        <v>46241</v>
      </c>
      <c r="AV264">
        <v>46243</v>
      </c>
      <c r="AW264" t="s">
        <v>204</v>
      </c>
      <c r="AX264">
        <v>0</v>
      </c>
      <c r="AY264">
        <v>0</v>
      </c>
      <c r="AZ264" t="s">
        <v>313</v>
      </c>
      <c r="BD264">
        <v>2</v>
      </c>
      <c r="BE264">
        <v>4</v>
      </c>
      <c r="BF264" t="s">
        <v>314</v>
      </c>
      <c r="BG264" t="s">
        <v>153</v>
      </c>
      <c r="BH264">
        <v>17473.8</v>
      </c>
      <c r="BI264">
        <v>46250</v>
      </c>
      <c r="BJ264">
        <v>11</v>
      </c>
      <c r="BK264">
        <v>5380.2</v>
      </c>
      <c r="BL264">
        <v>46269</v>
      </c>
      <c r="BM264">
        <v>30</v>
      </c>
      <c r="BN264">
        <v>22854</v>
      </c>
      <c r="BO264">
        <v>0</v>
      </c>
      <c r="BP264" t="str">
        <f t="shared" si="4"/>
        <v>HAEMBB</v>
      </c>
    </row>
    <row r="265" spans="1:68" x14ac:dyDescent="0.25">
      <c r="A265" t="s">
        <v>1381</v>
      </c>
      <c r="B265" t="s">
        <v>1382</v>
      </c>
      <c r="C265" t="s">
        <v>1383</v>
      </c>
      <c r="D265">
        <v>12424.640000000001</v>
      </c>
      <c r="E265">
        <v>15152</v>
      </c>
      <c r="F265">
        <v>2608</v>
      </c>
      <c r="G265" t="s">
        <v>159</v>
      </c>
      <c r="H265" t="s">
        <v>1349</v>
      </c>
      <c r="I265" t="s">
        <v>1384</v>
      </c>
      <c r="J265" t="s">
        <v>306</v>
      </c>
      <c r="K265" t="s">
        <v>307</v>
      </c>
      <c r="L265">
        <v>46235</v>
      </c>
      <c r="M265">
        <v>46235</v>
      </c>
      <c r="N265">
        <v>46235</v>
      </c>
      <c r="O265" t="s">
        <v>326</v>
      </c>
      <c r="P265" t="s">
        <v>327</v>
      </c>
      <c r="Q265" t="s">
        <v>328</v>
      </c>
      <c r="R265" t="s">
        <v>310</v>
      </c>
      <c r="S265" t="s">
        <v>209</v>
      </c>
      <c r="T265" t="s">
        <v>1070</v>
      </c>
      <c r="U265">
        <v>779</v>
      </c>
      <c r="V265">
        <v>12820</v>
      </c>
      <c r="W265">
        <v>0</v>
      </c>
      <c r="X265">
        <v>1553</v>
      </c>
      <c r="Y265">
        <v>15152</v>
      </c>
      <c r="Z265">
        <v>0</v>
      </c>
      <c r="AA265" t="s">
        <v>204</v>
      </c>
      <c r="AB265">
        <v>15152</v>
      </c>
      <c r="AC265">
        <v>9394.24</v>
      </c>
      <c r="AD265">
        <v>7670</v>
      </c>
      <c r="AE265">
        <v>7370</v>
      </c>
      <c r="AF265">
        <v>300</v>
      </c>
      <c r="AG265">
        <v>0</v>
      </c>
      <c r="AH265" t="s">
        <v>312</v>
      </c>
      <c r="AI265" t="s">
        <v>312</v>
      </c>
      <c r="AJ265">
        <v>0</v>
      </c>
      <c r="AK265">
        <v>0</v>
      </c>
      <c r="AR265">
        <v>0</v>
      </c>
      <c r="AS265">
        <v>0</v>
      </c>
      <c r="AU265">
        <v>46239</v>
      </c>
      <c r="AV265">
        <v>46251</v>
      </c>
      <c r="AW265" t="s">
        <v>204</v>
      </c>
      <c r="AX265">
        <v>0</v>
      </c>
      <c r="AY265">
        <v>7670</v>
      </c>
      <c r="AZ265" t="s">
        <v>313</v>
      </c>
      <c r="BD265">
        <v>4</v>
      </c>
      <c r="BE265">
        <v>16</v>
      </c>
      <c r="BF265" t="s">
        <v>314</v>
      </c>
      <c r="BG265" t="s">
        <v>153</v>
      </c>
      <c r="BH265">
        <v>11306</v>
      </c>
      <c r="BI265">
        <v>46250</v>
      </c>
      <c r="BJ265">
        <v>15</v>
      </c>
      <c r="BK265">
        <v>3846</v>
      </c>
      <c r="BL265">
        <v>46269</v>
      </c>
      <c r="BM265">
        <v>34</v>
      </c>
      <c r="BN265">
        <v>15152</v>
      </c>
      <c r="BO265">
        <v>0</v>
      </c>
      <c r="BP265" t="str">
        <f t="shared" si="4"/>
        <v>HAEMBB</v>
      </c>
    </row>
    <row r="266" spans="1:68" x14ac:dyDescent="0.25">
      <c r="A266" t="s">
        <v>1385</v>
      </c>
      <c r="B266" t="s">
        <v>1386</v>
      </c>
      <c r="C266" t="s">
        <v>1387</v>
      </c>
      <c r="D266">
        <v>12209.8</v>
      </c>
      <c r="E266">
        <v>14890</v>
      </c>
      <c r="F266">
        <v>2608</v>
      </c>
      <c r="G266" t="s">
        <v>159</v>
      </c>
      <c r="H266" t="s">
        <v>1349</v>
      </c>
      <c r="I266" t="s">
        <v>1388</v>
      </c>
      <c r="J266" t="s">
        <v>306</v>
      </c>
      <c r="K266" t="s">
        <v>307</v>
      </c>
      <c r="L266">
        <v>46236</v>
      </c>
      <c r="M266">
        <v>46237</v>
      </c>
      <c r="N266">
        <v>46237</v>
      </c>
      <c r="O266" t="s">
        <v>326</v>
      </c>
      <c r="P266" t="s">
        <v>327</v>
      </c>
      <c r="Q266" t="s">
        <v>328</v>
      </c>
      <c r="R266" t="s">
        <v>310</v>
      </c>
      <c r="S266" t="s">
        <v>206</v>
      </c>
      <c r="T266" t="s">
        <v>913</v>
      </c>
      <c r="U266">
        <v>779</v>
      </c>
      <c r="V266">
        <v>12558</v>
      </c>
      <c r="W266">
        <v>0</v>
      </c>
      <c r="X266">
        <v>1553</v>
      </c>
      <c r="Y266">
        <v>14890</v>
      </c>
      <c r="Z266">
        <v>0</v>
      </c>
      <c r="AA266" t="s">
        <v>204</v>
      </c>
      <c r="AB266">
        <v>14890</v>
      </c>
      <c r="AC266">
        <v>9231.7999999999993</v>
      </c>
      <c r="AE266">
        <v>7550</v>
      </c>
      <c r="AF266">
        <v>300</v>
      </c>
      <c r="AU266">
        <v>46239</v>
      </c>
      <c r="AV266">
        <v>46241</v>
      </c>
      <c r="AW266" t="s">
        <v>204</v>
      </c>
      <c r="AX266">
        <v>0</v>
      </c>
      <c r="AY266">
        <v>0</v>
      </c>
      <c r="AZ266" t="s">
        <v>313</v>
      </c>
      <c r="BD266">
        <v>2</v>
      </c>
      <c r="BE266">
        <v>4</v>
      </c>
      <c r="BF266" t="s">
        <v>314</v>
      </c>
      <c r="BG266" t="s">
        <v>153</v>
      </c>
      <c r="BH266">
        <v>11122.599999999999</v>
      </c>
      <c r="BI266">
        <v>46250</v>
      </c>
      <c r="BJ266">
        <v>13</v>
      </c>
      <c r="BK266">
        <v>3767.3999999999996</v>
      </c>
      <c r="BL266">
        <v>46269</v>
      </c>
      <c r="BM266">
        <v>32</v>
      </c>
      <c r="BN266">
        <v>14889.999999999998</v>
      </c>
      <c r="BO266">
        <v>0</v>
      </c>
      <c r="BP266" t="str">
        <f t="shared" si="4"/>
        <v>HAEMBB</v>
      </c>
    </row>
    <row r="267" spans="1:68" x14ac:dyDescent="0.25">
      <c r="A267" t="s">
        <v>1389</v>
      </c>
      <c r="B267" t="s">
        <v>1390</v>
      </c>
      <c r="C267" t="s">
        <v>1391</v>
      </c>
      <c r="D267">
        <v>13902.279999999999</v>
      </c>
      <c r="E267">
        <v>16954</v>
      </c>
      <c r="F267">
        <v>2608</v>
      </c>
      <c r="G267" t="s">
        <v>159</v>
      </c>
      <c r="H267" t="s">
        <v>1349</v>
      </c>
      <c r="I267" t="s">
        <v>1392</v>
      </c>
      <c r="J267" t="s">
        <v>306</v>
      </c>
      <c r="K267" t="s">
        <v>307</v>
      </c>
      <c r="L267">
        <v>46237</v>
      </c>
      <c r="M267">
        <v>46237</v>
      </c>
      <c r="N267">
        <v>46237</v>
      </c>
      <c r="O267" t="s">
        <v>938</v>
      </c>
      <c r="P267" t="s">
        <v>939</v>
      </c>
      <c r="Q267" t="s">
        <v>328</v>
      </c>
      <c r="R267" t="s">
        <v>310</v>
      </c>
      <c r="S267" t="s">
        <v>206</v>
      </c>
      <c r="T267" t="s">
        <v>913</v>
      </c>
      <c r="U267">
        <v>779</v>
      </c>
      <c r="V267">
        <v>12034</v>
      </c>
      <c r="W267">
        <v>0</v>
      </c>
      <c r="X267">
        <v>4141</v>
      </c>
      <c r="Y267">
        <v>16954</v>
      </c>
      <c r="Z267">
        <v>0</v>
      </c>
      <c r="AA267" t="s">
        <v>204</v>
      </c>
      <c r="AB267">
        <v>16954</v>
      </c>
      <c r="AC267">
        <v>10511.48</v>
      </c>
      <c r="AD267">
        <v>0</v>
      </c>
      <c r="AE267">
        <v>7260</v>
      </c>
      <c r="AF267">
        <v>300</v>
      </c>
      <c r="AG267">
        <v>0</v>
      </c>
      <c r="AH267">
        <v>0</v>
      </c>
      <c r="AI267">
        <v>0</v>
      </c>
      <c r="AJ267">
        <v>0</v>
      </c>
      <c r="AK267">
        <v>0</v>
      </c>
      <c r="AR267">
        <v>0</v>
      </c>
      <c r="AS267">
        <v>0</v>
      </c>
      <c r="AU267">
        <v>46238</v>
      </c>
      <c r="AV267">
        <v>46240</v>
      </c>
      <c r="AW267" t="s">
        <v>204</v>
      </c>
      <c r="AX267">
        <v>0</v>
      </c>
      <c r="AY267">
        <v>0</v>
      </c>
      <c r="AZ267" t="s">
        <v>313</v>
      </c>
      <c r="BD267">
        <v>1</v>
      </c>
      <c r="BE267">
        <v>3</v>
      </c>
      <c r="BF267" t="s">
        <v>314</v>
      </c>
      <c r="BG267" t="s">
        <v>153</v>
      </c>
      <c r="BH267">
        <v>13343.8</v>
      </c>
      <c r="BI267">
        <v>46250</v>
      </c>
      <c r="BJ267">
        <v>13</v>
      </c>
      <c r="BK267">
        <v>3610.2</v>
      </c>
      <c r="BL267">
        <v>46269</v>
      </c>
      <c r="BM267">
        <v>32</v>
      </c>
      <c r="BN267">
        <v>16954</v>
      </c>
      <c r="BO267">
        <v>0</v>
      </c>
      <c r="BP267" t="str">
        <f t="shared" si="4"/>
        <v>HAEMBB</v>
      </c>
    </row>
    <row r="268" spans="1:68" x14ac:dyDescent="0.25">
      <c r="A268" t="s">
        <v>1393</v>
      </c>
      <c r="B268" t="s">
        <v>1394</v>
      </c>
      <c r="C268" t="s">
        <v>1395</v>
      </c>
      <c r="D268">
        <v>22816.5</v>
      </c>
      <c r="E268">
        <v>27825</v>
      </c>
      <c r="F268">
        <v>2608</v>
      </c>
      <c r="G268" t="s">
        <v>159</v>
      </c>
      <c r="H268" t="s">
        <v>1349</v>
      </c>
      <c r="I268" t="s">
        <v>1396</v>
      </c>
      <c r="J268" t="s">
        <v>306</v>
      </c>
      <c r="K268" t="s">
        <v>307</v>
      </c>
      <c r="L268">
        <v>46239</v>
      </c>
      <c r="M268">
        <v>46239</v>
      </c>
      <c r="N268">
        <v>46239</v>
      </c>
      <c r="O268" t="s">
        <v>1208</v>
      </c>
      <c r="P268" t="s">
        <v>1209</v>
      </c>
      <c r="Q268" t="s">
        <v>328</v>
      </c>
      <c r="R268" t="s">
        <v>310</v>
      </c>
      <c r="S268" t="s">
        <v>209</v>
      </c>
      <c r="T268" t="s">
        <v>913</v>
      </c>
      <c r="U268">
        <v>779</v>
      </c>
      <c r="V268">
        <v>22905</v>
      </c>
      <c r="W268">
        <v>0</v>
      </c>
      <c r="X268">
        <v>4141</v>
      </c>
      <c r="Y268">
        <v>27825</v>
      </c>
      <c r="Z268">
        <v>0</v>
      </c>
      <c r="AA268" t="s">
        <v>204</v>
      </c>
      <c r="AB268">
        <v>27825</v>
      </c>
      <c r="AC268">
        <v>17251.5</v>
      </c>
      <c r="AE268">
        <v>12120</v>
      </c>
      <c r="AF268">
        <v>300</v>
      </c>
      <c r="AU268">
        <v>46241</v>
      </c>
      <c r="AV268">
        <v>46243</v>
      </c>
      <c r="AW268" t="s">
        <v>204</v>
      </c>
      <c r="AX268">
        <v>0</v>
      </c>
      <c r="AY268">
        <v>0</v>
      </c>
      <c r="AZ268" t="s">
        <v>313</v>
      </c>
      <c r="BD268">
        <v>2</v>
      </c>
      <c r="BE268">
        <v>4</v>
      </c>
      <c r="BF268" t="s">
        <v>314</v>
      </c>
      <c r="BG268" t="s">
        <v>153</v>
      </c>
      <c r="BH268">
        <v>20953.5</v>
      </c>
      <c r="BI268">
        <v>46250</v>
      </c>
      <c r="BJ268">
        <v>11</v>
      </c>
      <c r="BK268">
        <v>6871.5</v>
      </c>
      <c r="BL268">
        <v>46269</v>
      </c>
      <c r="BM268">
        <v>30</v>
      </c>
      <c r="BN268">
        <v>27825</v>
      </c>
      <c r="BO268">
        <v>0</v>
      </c>
      <c r="BP268" t="str">
        <f t="shared" si="4"/>
        <v>HAEMBB</v>
      </c>
    </row>
    <row r="269" spans="1:68" x14ac:dyDescent="0.25">
      <c r="A269" t="s">
        <v>1397</v>
      </c>
      <c r="B269" t="s">
        <v>1398</v>
      </c>
      <c r="C269" t="s">
        <v>1399</v>
      </c>
      <c r="D269">
        <v>17806.3</v>
      </c>
      <c r="E269">
        <v>21715</v>
      </c>
      <c r="F269">
        <v>2608</v>
      </c>
      <c r="G269" t="s">
        <v>159</v>
      </c>
      <c r="H269" t="s">
        <v>1349</v>
      </c>
      <c r="I269" t="s">
        <v>1400</v>
      </c>
      <c r="J269" t="s">
        <v>306</v>
      </c>
      <c r="K269" t="s">
        <v>307</v>
      </c>
      <c r="L269">
        <v>46241</v>
      </c>
      <c r="M269">
        <v>46241</v>
      </c>
      <c r="N269">
        <v>46241</v>
      </c>
      <c r="O269" t="s">
        <v>1208</v>
      </c>
      <c r="P269" t="s">
        <v>1209</v>
      </c>
      <c r="Q269" t="s">
        <v>328</v>
      </c>
      <c r="R269" t="s">
        <v>310</v>
      </c>
      <c r="S269" t="s">
        <v>206</v>
      </c>
      <c r="T269" t="s">
        <v>913</v>
      </c>
      <c r="U269">
        <v>779</v>
      </c>
      <c r="V269">
        <v>17934</v>
      </c>
      <c r="W269">
        <v>0</v>
      </c>
      <c r="X269">
        <v>4141</v>
      </c>
      <c r="Y269">
        <v>22854</v>
      </c>
      <c r="Z269">
        <v>1139</v>
      </c>
      <c r="AA269">
        <v>46253</v>
      </c>
      <c r="AB269">
        <v>23993</v>
      </c>
      <c r="AC269">
        <v>13463.3</v>
      </c>
      <c r="AE269">
        <v>9800</v>
      </c>
      <c r="AF269">
        <v>300</v>
      </c>
      <c r="AU269">
        <v>46245</v>
      </c>
      <c r="AV269">
        <v>46250</v>
      </c>
      <c r="AW269" t="s">
        <v>204</v>
      </c>
      <c r="AX269">
        <v>0</v>
      </c>
      <c r="AY269">
        <v>0</v>
      </c>
      <c r="AZ269" t="s">
        <v>313</v>
      </c>
      <c r="BD269">
        <v>4</v>
      </c>
      <c r="BE269">
        <v>9</v>
      </c>
      <c r="BF269" t="s">
        <v>314</v>
      </c>
      <c r="BG269" t="s">
        <v>153</v>
      </c>
      <c r="BH269">
        <v>17473.8</v>
      </c>
      <c r="BI269">
        <v>46255</v>
      </c>
      <c r="BJ269">
        <v>14</v>
      </c>
      <c r="BK269">
        <v>5038.5</v>
      </c>
      <c r="BL269">
        <v>46269</v>
      </c>
      <c r="BM269">
        <v>28</v>
      </c>
      <c r="BN269">
        <v>22512.3</v>
      </c>
      <c r="BO269">
        <v>1480.7000000000007</v>
      </c>
      <c r="BP269" t="str">
        <f t="shared" si="4"/>
        <v>HAEMBB</v>
      </c>
    </row>
    <row r="270" spans="1:68" x14ac:dyDescent="0.25">
      <c r="A270" t="s">
        <v>1401</v>
      </c>
      <c r="B270" t="s">
        <v>1402</v>
      </c>
      <c r="C270" t="s">
        <v>1403</v>
      </c>
      <c r="D270">
        <v>13902.279999999999</v>
      </c>
      <c r="E270">
        <v>16954</v>
      </c>
      <c r="F270">
        <v>2608</v>
      </c>
      <c r="G270" t="s">
        <v>159</v>
      </c>
      <c r="H270" t="s">
        <v>1349</v>
      </c>
      <c r="I270" t="s">
        <v>1404</v>
      </c>
      <c r="J270" t="s">
        <v>306</v>
      </c>
      <c r="K270" t="s">
        <v>307</v>
      </c>
      <c r="L270">
        <v>46239</v>
      </c>
      <c r="M270">
        <v>46239</v>
      </c>
      <c r="N270">
        <v>46239</v>
      </c>
      <c r="O270" t="s">
        <v>911</v>
      </c>
      <c r="P270" t="s">
        <v>912</v>
      </c>
      <c r="Q270" t="s">
        <v>328</v>
      </c>
      <c r="R270" t="s">
        <v>310</v>
      </c>
      <c r="S270" t="s">
        <v>206</v>
      </c>
      <c r="T270" t="s">
        <v>913</v>
      </c>
      <c r="U270">
        <v>779</v>
      </c>
      <c r="V270">
        <v>12034</v>
      </c>
      <c r="W270">
        <v>0</v>
      </c>
      <c r="X270">
        <v>4141</v>
      </c>
      <c r="Y270">
        <v>16954</v>
      </c>
      <c r="Z270">
        <v>0</v>
      </c>
      <c r="AA270" t="s">
        <v>204</v>
      </c>
      <c r="AB270">
        <v>16954</v>
      </c>
      <c r="AC270">
        <v>10511.48</v>
      </c>
      <c r="AE270">
        <v>7260</v>
      </c>
      <c r="AF270">
        <v>300</v>
      </c>
      <c r="AU270">
        <v>46241</v>
      </c>
      <c r="AV270">
        <v>46243</v>
      </c>
      <c r="AW270" t="s">
        <v>204</v>
      </c>
      <c r="AX270">
        <v>0</v>
      </c>
      <c r="AY270">
        <v>0</v>
      </c>
      <c r="AZ270" t="s">
        <v>313</v>
      </c>
      <c r="BD270">
        <v>2</v>
      </c>
      <c r="BE270">
        <v>4</v>
      </c>
      <c r="BF270" t="s">
        <v>314</v>
      </c>
      <c r="BG270" t="s">
        <v>153</v>
      </c>
      <c r="BH270">
        <v>13343.8</v>
      </c>
      <c r="BI270">
        <v>46250</v>
      </c>
      <c r="BJ270">
        <v>11</v>
      </c>
      <c r="BK270">
        <v>3610.2</v>
      </c>
      <c r="BL270">
        <v>46262</v>
      </c>
      <c r="BM270">
        <v>23</v>
      </c>
      <c r="BN270">
        <v>16954</v>
      </c>
      <c r="BO270">
        <v>0</v>
      </c>
      <c r="BP270" t="str">
        <f t="shared" si="4"/>
        <v>HAEMBB</v>
      </c>
    </row>
    <row r="271" spans="1:68" x14ac:dyDescent="0.25">
      <c r="A271" t="s">
        <v>1405</v>
      </c>
      <c r="B271" t="s">
        <v>1406</v>
      </c>
      <c r="C271" t="s">
        <v>1407</v>
      </c>
      <c r="D271">
        <v>19288.86</v>
      </c>
      <c r="E271">
        <v>23523</v>
      </c>
      <c r="F271">
        <v>2608</v>
      </c>
      <c r="G271" t="s">
        <v>159</v>
      </c>
      <c r="H271" t="s">
        <v>1349</v>
      </c>
      <c r="I271" t="s">
        <v>671</v>
      </c>
      <c r="J271" t="s">
        <v>306</v>
      </c>
      <c r="K271" t="s">
        <v>307</v>
      </c>
      <c r="L271">
        <v>46268</v>
      </c>
      <c r="M271">
        <v>46268</v>
      </c>
      <c r="N271">
        <v>46268</v>
      </c>
      <c r="O271" t="s">
        <v>318</v>
      </c>
      <c r="P271" t="s">
        <v>204</v>
      </c>
      <c r="Q271" t="s">
        <v>309</v>
      </c>
      <c r="R271" t="s">
        <v>310</v>
      </c>
      <c r="S271" t="s">
        <v>211</v>
      </c>
      <c r="T271" t="s">
        <v>1408</v>
      </c>
      <c r="U271">
        <v>779</v>
      </c>
      <c r="V271">
        <v>16208</v>
      </c>
      <c r="W271">
        <v>0</v>
      </c>
      <c r="X271">
        <v>6536</v>
      </c>
      <c r="Y271">
        <v>23523</v>
      </c>
      <c r="Z271">
        <v>0</v>
      </c>
      <c r="AA271" t="s">
        <v>204</v>
      </c>
      <c r="AB271">
        <v>23523</v>
      </c>
      <c r="AC271">
        <v>14584.26</v>
      </c>
      <c r="AU271">
        <v>46268</v>
      </c>
      <c r="AV271">
        <v>46272</v>
      </c>
      <c r="AW271" t="s">
        <v>204</v>
      </c>
      <c r="AX271">
        <v>0</v>
      </c>
      <c r="AY271">
        <v>0</v>
      </c>
      <c r="AZ271" t="s">
        <v>313</v>
      </c>
      <c r="BD271">
        <v>0</v>
      </c>
      <c r="BE271">
        <v>4</v>
      </c>
      <c r="BF271" t="s">
        <v>314</v>
      </c>
      <c r="BG271" t="s">
        <v>153</v>
      </c>
      <c r="BH271">
        <v>779</v>
      </c>
      <c r="BI271">
        <v>46272</v>
      </c>
      <c r="BJ271">
        <v>4</v>
      </c>
      <c r="BK271">
        <v>0</v>
      </c>
      <c r="BN271">
        <v>779</v>
      </c>
      <c r="BO271">
        <v>22744</v>
      </c>
      <c r="BP271" t="str">
        <f t="shared" si="4"/>
        <v>HAEMBB</v>
      </c>
    </row>
    <row r="272" spans="1:68" x14ac:dyDescent="0.25">
      <c r="A272" t="s">
        <v>1409</v>
      </c>
      <c r="B272" t="s">
        <v>1410</v>
      </c>
      <c r="C272" t="s">
        <v>1411</v>
      </c>
      <c r="D272">
        <v>15801.4</v>
      </c>
      <c r="E272">
        <v>19270</v>
      </c>
      <c r="F272">
        <v>2608</v>
      </c>
      <c r="G272" t="s">
        <v>159</v>
      </c>
      <c r="H272" t="s">
        <v>1349</v>
      </c>
      <c r="I272" t="s">
        <v>1412</v>
      </c>
      <c r="J272" t="s">
        <v>306</v>
      </c>
      <c r="K272" t="s">
        <v>307</v>
      </c>
      <c r="L272">
        <v>46234</v>
      </c>
      <c r="M272">
        <v>46234</v>
      </c>
      <c r="N272">
        <v>46234</v>
      </c>
      <c r="O272" t="s">
        <v>938</v>
      </c>
      <c r="P272" t="s">
        <v>939</v>
      </c>
      <c r="Q272" t="s">
        <v>328</v>
      </c>
      <c r="R272" t="s">
        <v>310</v>
      </c>
      <c r="S272" t="s">
        <v>209</v>
      </c>
      <c r="T272" t="s">
        <v>1070</v>
      </c>
      <c r="U272">
        <v>779</v>
      </c>
      <c r="V272">
        <v>14350</v>
      </c>
      <c r="W272">
        <v>0</v>
      </c>
      <c r="X272">
        <v>4141</v>
      </c>
      <c r="Y272">
        <v>19270</v>
      </c>
      <c r="Z272">
        <v>0</v>
      </c>
      <c r="AA272" t="s">
        <v>204</v>
      </c>
      <c r="AB272">
        <v>19270</v>
      </c>
      <c r="AC272">
        <v>11947.4</v>
      </c>
      <c r="AD272">
        <v>9200</v>
      </c>
      <c r="AE272">
        <v>8600</v>
      </c>
      <c r="AF272">
        <v>300</v>
      </c>
      <c r="AG272">
        <v>300</v>
      </c>
      <c r="AH272" t="s">
        <v>312</v>
      </c>
      <c r="AI272" t="s">
        <v>312</v>
      </c>
      <c r="AJ272">
        <v>0</v>
      </c>
      <c r="AK272">
        <v>0</v>
      </c>
      <c r="AR272">
        <v>0</v>
      </c>
      <c r="AS272">
        <v>0</v>
      </c>
      <c r="AU272">
        <v>46236</v>
      </c>
      <c r="AV272">
        <v>46239</v>
      </c>
      <c r="AW272" t="s">
        <v>204</v>
      </c>
      <c r="AX272">
        <v>0</v>
      </c>
      <c r="AY272">
        <v>9200</v>
      </c>
      <c r="AZ272" t="s">
        <v>313</v>
      </c>
      <c r="BD272">
        <v>2</v>
      </c>
      <c r="BE272">
        <v>5</v>
      </c>
      <c r="BF272" t="s">
        <v>314</v>
      </c>
      <c r="BG272" t="s">
        <v>153</v>
      </c>
      <c r="BH272">
        <v>14965</v>
      </c>
      <c r="BI272">
        <v>46250</v>
      </c>
      <c r="BJ272">
        <v>16</v>
      </c>
      <c r="BK272">
        <v>0</v>
      </c>
      <c r="BN272">
        <v>14965</v>
      </c>
      <c r="BO272">
        <v>4305</v>
      </c>
      <c r="BP272" t="str">
        <f t="shared" si="4"/>
        <v>HAEMBB</v>
      </c>
    </row>
    <row r="273" spans="1:68" x14ac:dyDescent="0.25">
      <c r="A273" t="s">
        <v>1413</v>
      </c>
      <c r="B273" t="s">
        <v>1414</v>
      </c>
      <c r="C273" t="s">
        <v>1415</v>
      </c>
      <c r="D273">
        <v>10310.68</v>
      </c>
      <c r="E273">
        <v>12574</v>
      </c>
      <c r="F273">
        <v>2608</v>
      </c>
      <c r="G273" t="s">
        <v>159</v>
      </c>
      <c r="H273" t="s">
        <v>1349</v>
      </c>
      <c r="I273" t="s">
        <v>1416</v>
      </c>
      <c r="J273" t="s">
        <v>306</v>
      </c>
      <c r="K273" t="s">
        <v>307</v>
      </c>
      <c r="L273">
        <v>46235</v>
      </c>
      <c r="M273">
        <v>46235</v>
      </c>
      <c r="N273">
        <v>46235</v>
      </c>
      <c r="O273" t="s">
        <v>1208</v>
      </c>
      <c r="P273" t="s">
        <v>1209</v>
      </c>
      <c r="Q273" t="s">
        <v>328</v>
      </c>
      <c r="R273" t="s">
        <v>310</v>
      </c>
      <c r="S273" t="s">
        <v>206</v>
      </c>
      <c r="T273" t="s">
        <v>1070</v>
      </c>
      <c r="U273">
        <v>779</v>
      </c>
      <c r="V273">
        <v>10242</v>
      </c>
      <c r="W273">
        <v>0</v>
      </c>
      <c r="X273">
        <v>1553</v>
      </c>
      <c r="Y273">
        <v>12574</v>
      </c>
      <c r="Z273">
        <v>0</v>
      </c>
      <c r="AA273" t="s">
        <v>204</v>
      </c>
      <c r="AB273">
        <v>12574</v>
      </c>
      <c r="AC273">
        <v>7795.88</v>
      </c>
      <c r="AD273">
        <v>6510</v>
      </c>
      <c r="AE273">
        <v>6210</v>
      </c>
      <c r="AF273">
        <v>300</v>
      </c>
      <c r="AG273">
        <v>0</v>
      </c>
      <c r="AH273" t="s">
        <v>312</v>
      </c>
      <c r="AI273" t="s">
        <v>312</v>
      </c>
      <c r="AJ273">
        <v>0</v>
      </c>
      <c r="AK273">
        <v>0</v>
      </c>
      <c r="AR273">
        <v>0</v>
      </c>
      <c r="AS273">
        <v>0</v>
      </c>
      <c r="AU273">
        <v>46238</v>
      </c>
      <c r="AV273">
        <v>46241</v>
      </c>
      <c r="AW273" t="s">
        <v>204</v>
      </c>
      <c r="AX273">
        <v>0</v>
      </c>
      <c r="AY273">
        <v>6510</v>
      </c>
      <c r="AZ273" t="s">
        <v>313</v>
      </c>
      <c r="BD273">
        <v>3</v>
      </c>
      <c r="BE273">
        <v>6</v>
      </c>
      <c r="BF273" t="s">
        <v>314</v>
      </c>
      <c r="BG273" t="s">
        <v>153</v>
      </c>
      <c r="BH273">
        <v>9501.4</v>
      </c>
      <c r="BI273">
        <v>46250</v>
      </c>
      <c r="BJ273">
        <v>15</v>
      </c>
      <c r="BK273">
        <v>3072.6</v>
      </c>
      <c r="BL273">
        <v>46262</v>
      </c>
      <c r="BM273">
        <v>27</v>
      </c>
      <c r="BN273">
        <v>12574</v>
      </c>
      <c r="BO273">
        <v>0</v>
      </c>
      <c r="BP273" t="str">
        <f t="shared" si="4"/>
        <v>HAEMBB</v>
      </c>
    </row>
    <row r="274" spans="1:68" x14ac:dyDescent="0.25">
      <c r="A274" t="s">
        <v>1417</v>
      </c>
      <c r="B274" t="s">
        <v>1418</v>
      </c>
      <c r="C274" t="s">
        <v>1419</v>
      </c>
      <c r="D274">
        <v>13902.279999999999</v>
      </c>
      <c r="E274">
        <v>16954</v>
      </c>
      <c r="F274">
        <v>2608</v>
      </c>
      <c r="G274" t="s">
        <v>159</v>
      </c>
      <c r="H274" t="s">
        <v>1349</v>
      </c>
      <c r="I274" t="s">
        <v>1420</v>
      </c>
      <c r="J274" t="s">
        <v>306</v>
      </c>
      <c r="K274" t="s">
        <v>307</v>
      </c>
      <c r="L274">
        <v>46237</v>
      </c>
      <c r="M274">
        <v>46237</v>
      </c>
      <c r="N274">
        <v>46237</v>
      </c>
      <c r="O274" t="s">
        <v>1208</v>
      </c>
      <c r="P274" t="s">
        <v>1209</v>
      </c>
      <c r="Q274" t="s">
        <v>328</v>
      </c>
      <c r="R274" t="s">
        <v>310</v>
      </c>
      <c r="S274" t="s">
        <v>206</v>
      </c>
      <c r="T274" t="s">
        <v>913</v>
      </c>
      <c r="U274">
        <v>779</v>
      </c>
      <c r="V274">
        <v>12034</v>
      </c>
      <c r="W274">
        <v>0</v>
      </c>
      <c r="X274">
        <v>4141</v>
      </c>
      <c r="Y274">
        <v>16954</v>
      </c>
      <c r="Z274">
        <v>0</v>
      </c>
      <c r="AA274" t="s">
        <v>204</v>
      </c>
      <c r="AB274">
        <v>16954</v>
      </c>
      <c r="AC274">
        <v>10511.48</v>
      </c>
      <c r="AD274">
        <v>0</v>
      </c>
      <c r="AE274">
        <v>7260</v>
      </c>
      <c r="AF274">
        <v>300</v>
      </c>
      <c r="AG274">
        <v>0</v>
      </c>
      <c r="AH274">
        <v>0</v>
      </c>
      <c r="AI274">
        <v>0</v>
      </c>
      <c r="AJ274">
        <v>0</v>
      </c>
      <c r="AK274">
        <v>0</v>
      </c>
      <c r="AR274">
        <v>0</v>
      </c>
      <c r="AS274">
        <v>0</v>
      </c>
      <c r="AU274">
        <v>46238</v>
      </c>
      <c r="AV274">
        <v>46238</v>
      </c>
      <c r="AW274" t="s">
        <v>204</v>
      </c>
      <c r="AX274">
        <v>0</v>
      </c>
      <c r="AY274">
        <v>0</v>
      </c>
      <c r="AZ274" t="s">
        <v>313</v>
      </c>
      <c r="BD274">
        <v>1</v>
      </c>
      <c r="BE274">
        <v>1</v>
      </c>
      <c r="BF274" t="s">
        <v>314</v>
      </c>
      <c r="BG274" t="s">
        <v>153</v>
      </c>
      <c r="BH274">
        <v>13343.8</v>
      </c>
      <c r="BI274">
        <v>46250</v>
      </c>
      <c r="BJ274">
        <v>13</v>
      </c>
      <c r="BK274">
        <v>3610.2</v>
      </c>
      <c r="BL274">
        <v>46269</v>
      </c>
      <c r="BM274">
        <v>32</v>
      </c>
      <c r="BN274">
        <v>16954</v>
      </c>
      <c r="BO274">
        <v>0</v>
      </c>
      <c r="BP274" t="str">
        <f t="shared" si="4"/>
        <v>HAEMBB</v>
      </c>
    </row>
    <row r="275" spans="1:68" x14ac:dyDescent="0.25">
      <c r="A275" t="s">
        <v>1421</v>
      </c>
      <c r="B275" t="s">
        <v>1422</v>
      </c>
      <c r="C275" t="s">
        <v>1423</v>
      </c>
      <c r="D275">
        <v>12943.7</v>
      </c>
      <c r="E275">
        <v>15785</v>
      </c>
      <c r="F275">
        <v>2608</v>
      </c>
      <c r="G275" t="s">
        <v>159</v>
      </c>
      <c r="H275" t="s">
        <v>1349</v>
      </c>
      <c r="I275" t="s">
        <v>1424</v>
      </c>
      <c r="J275" t="s">
        <v>306</v>
      </c>
      <c r="K275" t="s">
        <v>307</v>
      </c>
      <c r="L275">
        <v>46240</v>
      </c>
      <c r="M275">
        <v>46240</v>
      </c>
      <c r="N275">
        <v>46240</v>
      </c>
      <c r="O275" t="s">
        <v>1208</v>
      </c>
      <c r="P275" t="s">
        <v>1209</v>
      </c>
      <c r="Q275" t="s">
        <v>328</v>
      </c>
      <c r="R275" t="s">
        <v>310</v>
      </c>
      <c r="S275" t="s">
        <v>209</v>
      </c>
      <c r="T275" t="s">
        <v>913</v>
      </c>
      <c r="U275">
        <v>779</v>
      </c>
      <c r="V275">
        <v>10865</v>
      </c>
      <c r="W275">
        <v>0</v>
      </c>
      <c r="X275">
        <v>4141</v>
      </c>
      <c r="Y275">
        <v>15785</v>
      </c>
      <c r="Z275">
        <v>0</v>
      </c>
      <c r="AA275" t="s">
        <v>204</v>
      </c>
      <c r="AB275">
        <v>15785</v>
      </c>
      <c r="AC275">
        <v>9786.7000000000007</v>
      </c>
      <c r="AE275">
        <v>6500</v>
      </c>
      <c r="AF275">
        <v>300</v>
      </c>
      <c r="AU275">
        <v>46241</v>
      </c>
      <c r="AV275">
        <v>46246</v>
      </c>
      <c r="AW275" t="s">
        <v>204</v>
      </c>
      <c r="AX275">
        <v>0</v>
      </c>
      <c r="AY275">
        <v>0</v>
      </c>
      <c r="AZ275" t="s">
        <v>313</v>
      </c>
      <c r="BD275">
        <v>1</v>
      </c>
      <c r="BE275">
        <v>6</v>
      </c>
      <c r="BF275" t="s">
        <v>314</v>
      </c>
      <c r="BG275" t="s">
        <v>153</v>
      </c>
      <c r="BH275">
        <v>12525.5</v>
      </c>
      <c r="BI275">
        <v>46250</v>
      </c>
      <c r="BJ275">
        <v>10</v>
      </c>
      <c r="BK275">
        <v>3259.5</v>
      </c>
      <c r="BL275">
        <v>46262</v>
      </c>
      <c r="BM275">
        <v>22</v>
      </c>
      <c r="BN275">
        <v>15785</v>
      </c>
      <c r="BO275">
        <v>0</v>
      </c>
      <c r="BP275" t="str">
        <f t="shared" si="4"/>
        <v>HAEMBB</v>
      </c>
    </row>
    <row r="276" spans="1:68" x14ac:dyDescent="0.25">
      <c r="A276" t="s">
        <v>1425</v>
      </c>
      <c r="B276" t="s">
        <v>1426</v>
      </c>
      <c r="C276" t="s">
        <v>1427</v>
      </c>
      <c r="D276">
        <v>17270.84</v>
      </c>
      <c r="E276">
        <v>21062</v>
      </c>
      <c r="F276">
        <v>2608</v>
      </c>
      <c r="G276" t="s">
        <v>159</v>
      </c>
      <c r="H276" t="s">
        <v>1349</v>
      </c>
      <c r="I276" t="s">
        <v>1428</v>
      </c>
      <c r="J276" t="s">
        <v>306</v>
      </c>
      <c r="K276" t="s">
        <v>307</v>
      </c>
      <c r="L276">
        <v>46238</v>
      </c>
      <c r="M276">
        <v>46238</v>
      </c>
      <c r="N276">
        <v>46238</v>
      </c>
      <c r="O276" t="s">
        <v>911</v>
      </c>
      <c r="P276" t="s">
        <v>912</v>
      </c>
      <c r="Q276" t="s">
        <v>328</v>
      </c>
      <c r="R276" t="s">
        <v>310</v>
      </c>
      <c r="S276" t="s">
        <v>206</v>
      </c>
      <c r="T276" t="s">
        <v>913</v>
      </c>
      <c r="U276">
        <v>779</v>
      </c>
      <c r="V276">
        <v>16142</v>
      </c>
      <c r="W276">
        <v>0</v>
      </c>
      <c r="X276">
        <v>4141</v>
      </c>
      <c r="Y276">
        <v>21062</v>
      </c>
      <c r="Z276">
        <v>0</v>
      </c>
      <c r="AA276" t="s">
        <v>204</v>
      </c>
      <c r="AB276">
        <v>21062</v>
      </c>
      <c r="AC276">
        <v>13058.44</v>
      </c>
      <c r="AE276">
        <v>9050</v>
      </c>
      <c r="AF276">
        <v>300</v>
      </c>
      <c r="AU276">
        <v>46241</v>
      </c>
      <c r="AV276">
        <v>46243</v>
      </c>
      <c r="AW276" t="s">
        <v>204</v>
      </c>
      <c r="AX276">
        <v>0</v>
      </c>
      <c r="AY276">
        <v>0</v>
      </c>
      <c r="AZ276" t="s">
        <v>313</v>
      </c>
      <c r="BD276">
        <v>3</v>
      </c>
      <c r="BE276">
        <v>5</v>
      </c>
      <c r="BF276" t="s">
        <v>314</v>
      </c>
      <c r="BG276" t="s">
        <v>153</v>
      </c>
      <c r="BH276">
        <v>16219.399999999998</v>
      </c>
      <c r="BI276">
        <v>46250</v>
      </c>
      <c r="BJ276">
        <v>12</v>
      </c>
      <c r="BK276">
        <v>4842.6000000000004</v>
      </c>
      <c r="BL276">
        <v>46269</v>
      </c>
      <c r="BM276">
        <v>31</v>
      </c>
      <c r="BN276">
        <v>21062</v>
      </c>
      <c r="BO276">
        <v>0</v>
      </c>
      <c r="BP276" t="str">
        <f t="shared" si="4"/>
        <v>HAEMBB</v>
      </c>
    </row>
    <row r="277" spans="1:68" x14ac:dyDescent="0.25">
      <c r="A277" t="s">
        <v>1429</v>
      </c>
      <c r="B277" t="s">
        <v>1430</v>
      </c>
      <c r="C277" t="s">
        <v>1431</v>
      </c>
      <c r="D277">
        <v>17763.66</v>
      </c>
      <c r="E277">
        <v>21663</v>
      </c>
      <c r="F277">
        <v>2608</v>
      </c>
      <c r="G277" t="s">
        <v>159</v>
      </c>
      <c r="H277" t="s">
        <v>1349</v>
      </c>
      <c r="I277" t="s">
        <v>1432</v>
      </c>
      <c r="J277" t="s">
        <v>306</v>
      </c>
      <c r="K277" t="s">
        <v>307</v>
      </c>
      <c r="L277">
        <v>46237</v>
      </c>
      <c r="M277">
        <v>46237</v>
      </c>
      <c r="N277">
        <v>46237</v>
      </c>
      <c r="O277" t="s">
        <v>911</v>
      </c>
      <c r="P277" t="s">
        <v>912</v>
      </c>
      <c r="Q277" t="s">
        <v>328</v>
      </c>
      <c r="R277" t="s">
        <v>310</v>
      </c>
      <c r="S277" t="s">
        <v>206</v>
      </c>
      <c r="T277" t="s">
        <v>913</v>
      </c>
      <c r="U277">
        <v>779</v>
      </c>
      <c r="V277">
        <v>16743</v>
      </c>
      <c r="W277">
        <v>0</v>
      </c>
      <c r="X277">
        <v>4141</v>
      </c>
      <c r="Y277">
        <v>21663</v>
      </c>
      <c r="Z277">
        <v>0</v>
      </c>
      <c r="AA277" t="s">
        <v>204</v>
      </c>
      <c r="AB277">
        <v>21663</v>
      </c>
      <c r="AC277">
        <v>13431.06</v>
      </c>
      <c r="AD277">
        <v>0</v>
      </c>
      <c r="AE277">
        <v>9460</v>
      </c>
      <c r="AF277">
        <v>300</v>
      </c>
      <c r="AG277">
        <v>0</v>
      </c>
      <c r="AH277">
        <v>0</v>
      </c>
      <c r="AI277">
        <v>0</v>
      </c>
      <c r="AJ277">
        <v>0</v>
      </c>
      <c r="AK277">
        <v>0</v>
      </c>
      <c r="AR277">
        <v>0</v>
      </c>
      <c r="AS277">
        <v>0</v>
      </c>
      <c r="AU277">
        <v>46241</v>
      </c>
      <c r="AV277">
        <v>46243</v>
      </c>
      <c r="AW277" t="s">
        <v>204</v>
      </c>
      <c r="AX277">
        <v>0</v>
      </c>
      <c r="AY277">
        <v>0</v>
      </c>
      <c r="AZ277" t="s">
        <v>313</v>
      </c>
      <c r="BD277">
        <v>4</v>
      </c>
      <c r="BE277">
        <v>6</v>
      </c>
      <c r="BF277" t="s">
        <v>314</v>
      </c>
      <c r="BG277" t="s">
        <v>153</v>
      </c>
      <c r="BH277">
        <v>16640.099999999999</v>
      </c>
      <c r="BI277">
        <v>46250</v>
      </c>
      <c r="BJ277">
        <v>13</v>
      </c>
      <c r="BK277">
        <v>5022.8999999999996</v>
      </c>
      <c r="BL277">
        <v>46262</v>
      </c>
      <c r="BM277">
        <v>25</v>
      </c>
      <c r="BN277">
        <v>21663</v>
      </c>
      <c r="BO277">
        <v>0</v>
      </c>
      <c r="BP277" t="str">
        <f t="shared" si="4"/>
        <v>HAEMBB</v>
      </c>
    </row>
    <row r="278" spans="1:68" x14ac:dyDescent="0.25">
      <c r="A278" t="s">
        <v>1433</v>
      </c>
      <c r="B278" t="s">
        <v>1434</v>
      </c>
      <c r="C278" t="s">
        <v>1435</v>
      </c>
      <c r="D278">
        <v>18946.099999999999</v>
      </c>
      <c r="E278">
        <v>23105</v>
      </c>
      <c r="F278">
        <v>2608</v>
      </c>
      <c r="G278" t="s">
        <v>159</v>
      </c>
      <c r="H278" t="s">
        <v>1349</v>
      </c>
      <c r="I278" t="s">
        <v>1436</v>
      </c>
      <c r="J278" t="s">
        <v>306</v>
      </c>
      <c r="K278" t="s">
        <v>307</v>
      </c>
      <c r="L278">
        <v>46234</v>
      </c>
      <c r="M278">
        <v>46235</v>
      </c>
      <c r="N278">
        <v>46235</v>
      </c>
      <c r="O278" t="s">
        <v>1208</v>
      </c>
      <c r="P278" t="s">
        <v>1209</v>
      </c>
      <c r="Q278" t="s">
        <v>328</v>
      </c>
      <c r="R278" t="s">
        <v>310</v>
      </c>
      <c r="S278" t="s">
        <v>206</v>
      </c>
      <c r="T278" t="s">
        <v>1070</v>
      </c>
      <c r="U278">
        <v>779</v>
      </c>
      <c r="V278">
        <v>18185</v>
      </c>
      <c r="W278">
        <v>0</v>
      </c>
      <c r="X278">
        <v>4141</v>
      </c>
      <c r="Y278">
        <v>23105</v>
      </c>
      <c r="Z278">
        <v>0</v>
      </c>
      <c r="AA278" t="s">
        <v>204</v>
      </c>
      <c r="AB278">
        <v>23105</v>
      </c>
      <c r="AC278">
        <v>14325.1</v>
      </c>
      <c r="AD278">
        <v>9980</v>
      </c>
      <c r="AE278">
        <v>9680</v>
      </c>
      <c r="AF278">
        <v>300</v>
      </c>
      <c r="AG278">
        <v>0</v>
      </c>
      <c r="AH278" t="s">
        <v>312</v>
      </c>
      <c r="AI278" t="s">
        <v>312</v>
      </c>
      <c r="AJ278">
        <v>0</v>
      </c>
      <c r="AK278">
        <v>0</v>
      </c>
      <c r="AR278">
        <v>0</v>
      </c>
      <c r="AS278">
        <v>0</v>
      </c>
      <c r="AU278">
        <v>46240</v>
      </c>
      <c r="AV278">
        <v>46246</v>
      </c>
      <c r="AW278" t="s">
        <v>204</v>
      </c>
      <c r="AX278">
        <v>0</v>
      </c>
      <c r="AY278">
        <v>9980</v>
      </c>
      <c r="AZ278" t="s">
        <v>313</v>
      </c>
      <c r="BD278">
        <v>5</v>
      </c>
      <c r="BE278">
        <v>11</v>
      </c>
      <c r="BF278" t="s">
        <v>314</v>
      </c>
      <c r="BG278" t="s">
        <v>153</v>
      </c>
      <c r="BH278">
        <v>17649.5</v>
      </c>
      <c r="BI278">
        <v>46250</v>
      </c>
      <c r="BJ278">
        <v>15</v>
      </c>
      <c r="BK278">
        <v>5455.5</v>
      </c>
      <c r="BL278">
        <v>46269</v>
      </c>
      <c r="BM278">
        <v>34</v>
      </c>
      <c r="BN278">
        <v>23105</v>
      </c>
      <c r="BO278">
        <v>0</v>
      </c>
      <c r="BP278" t="str">
        <f t="shared" si="4"/>
        <v>HAEMBB</v>
      </c>
    </row>
    <row r="279" spans="1:68" x14ac:dyDescent="0.25">
      <c r="A279" t="s">
        <v>1437</v>
      </c>
      <c r="B279" t="s">
        <v>1438</v>
      </c>
      <c r="C279" t="s">
        <v>1439</v>
      </c>
      <c r="D279">
        <v>10310.68</v>
      </c>
      <c r="E279">
        <v>12574</v>
      </c>
      <c r="F279">
        <v>2608</v>
      </c>
      <c r="G279" t="s">
        <v>159</v>
      </c>
      <c r="H279" t="s">
        <v>1349</v>
      </c>
      <c r="I279" t="s">
        <v>1440</v>
      </c>
      <c r="J279" t="s">
        <v>306</v>
      </c>
      <c r="K279" t="s">
        <v>307</v>
      </c>
      <c r="L279">
        <v>46235</v>
      </c>
      <c r="M279">
        <v>46235</v>
      </c>
      <c r="N279">
        <v>46235</v>
      </c>
      <c r="O279" t="s">
        <v>1208</v>
      </c>
      <c r="P279" t="s">
        <v>1209</v>
      </c>
      <c r="Q279" t="s">
        <v>328</v>
      </c>
      <c r="R279" t="s">
        <v>310</v>
      </c>
      <c r="S279" t="s">
        <v>206</v>
      </c>
      <c r="T279" t="s">
        <v>1070</v>
      </c>
      <c r="U279">
        <v>779</v>
      </c>
      <c r="V279">
        <v>10242</v>
      </c>
      <c r="W279">
        <v>0</v>
      </c>
      <c r="X279">
        <v>1553</v>
      </c>
      <c r="Y279">
        <v>12574</v>
      </c>
      <c r="Z279">
        <v>0</v>
      </c>
      <c r="AA279" t="s">
        <v>204</v>
      </c>
      <c r="AB279">
        <v>12574</v>
      </c>
      <c r="AC279">
        <v>7795.88</v>
      </c>
      <c r="AD279">
        <v>6510</v>
      </c>
      <c r="AE279">
        <v>6210</v>
      </c>
      <c r="AF279">
        <v>300</v>
      </c>
      <c r="AG279">
        <v>0</v>
      </c>
      <c r="AH279" t="s">
        <v>312</v>
      </c>
      <c r="AI279" t="s">
        <v>312</v>
      </c>
      <c r="AJ279">
        <v>0</v>
      </c>
      <c r="AK279">
        <v>0</v>
      </c>
      <c r="AR279">
        <v>0</v>
      </c>
      <c r="AS279">
        <v>0</v>
      </c>
      <c r="AU279">
        <v>46239</v>
      </c>
      <c r="AV279">
        <v>46243</v>
      </c>
      <c r="AW279" t="s">
        <v>204</v>
      </c>
      <c r="AX279">
        <v>0</v>
      </c>
      <c r="AY279">
        <v>6510</v>
      </c>
      <c r="AZ279" t="s">
        <v>313</v>
      </c>
      <c r="BD279">
        <v>4</v>
      </c>
      <c r="BE279">
        <v>8</v>
      </c>
      <c r="BF279" t="s">
        <v>314</v>
      </c>
      <c r="BG279" t="s">
        <v>153</v>
      </c>
      <c r="BH279">
        <v>9501.4</v>
      </c>
      <c r="BI279">
        <v>46250</v>
      </c>
      <c r="BJ279">
        <v>15</v>
      </c>
      <c r="BK279">
        <v>3072.6</v>
      </c>
      <c r="BL279">
        <v>46262</v>
      </c>
      <c r="BM279">
        <v>27</v>
      </c>
      <c r="BN279">
        <v>12574</v>
      </c>
      <c r="BO279">
        <v>0</v>
      </c>
      <c r="BP279" t="str">
        <f t="shared" si="4"/>
        <v>HAEMBB</v>
      </c>
    </row>
    <row r="280" spans="1:68" x14ac:dyDescent="0.25">
      <c r="A280" t="s">
        <v>1441</v>
      </c>
      <c r="B280" t="s">
        <v>1442</v>
      </c>
      <c r="C280" t="s">
        <v>1443</v>
      </c>
      <c r="D280">
        <v>15123.259999999998</v>
      </c>
      <c r="E280">
        <v>18443</v>
      </c>
      <c r="F280">
        <v>2608</v>
      </c>
      <c r="G280" t="s">
        <v>159</v>
      </c>
      <c r="H280" t="s">
        <v>1349</v>
      </c>
      <c r="I280" t="s">
        <v>1444</v>
      </c>
      <c r="J280" t="s">
        <v>306</v>
      </c>
      <c r="K280" t="s">
        <v>307</v>
      </c>
      <c r="N280">
        <v>0</v>
      </c>
      <c r="T280">
        <v>0</v>
      </c>
      <c r="U280">
        <v>779</v>
      </c>
      <c r="V280">
        <v>13716</v>
      </c>
      <c r="W280">
        <v>0</v>
      </c>
      <c r="X280">
        <v>3948</v>
      </c>
      <c r="Y280">
        <v>18443</v>
      </c>
      <c r="Z280">
        <v>0</v>
      </c>
      <c r="AA280" t="s">
        <v>204</v>
      </c>
      <c r="AB280">
        <v>18443</v>
      </c>
      <c r="AC280">
        <v>11434.66</v>
      </c>
      <c r="AW280" t="s">
        <v>204</v>
      </c>
      <c r="AX280">
        <v>0</v>
      </c>
      <c r="AY280">
        <v>0</v>
      </c>
      <c r="AZ280" t="s">
        <v>313</v>
      </c>
      <c r="BD280">
        <v>0</v>
      </c>
      <c r="BE280">
        <v>0</v>
      </c>
      <c r="BF280" t="s">
        <v>1057</v>
      </c>
      <c r="BG280" t="s">
        <v>153</v>
      </c>
      <c r="BH280">
        <v>0</v>
      </c>
      <c r="BJ280">
        <v>0</v>
      </c>
      <c r="BK280">
        <v>0</v>
      </c>
      <c r="BM280">
        <v>0</v>
      </c>
      <c r="BN280">
        <v>0</v>
      </c>
      <c r="BO280">
        <v>18443</v>
      </c>
      <c r="BP280" t="str">
        <f t="shared" si="4"/>
        <v>HAEMBB</v>
      </c>
    </row>
    <row r="281" spans="1:68" x14ac:dyDescent="0.25">
      <c r="A281" t="s">
        <v>1445</v>
      </c>
      <c r="B281" t="s">
        <v>1446</v>
      </c>
      <c r="C281" t="s">
        <v>219</v>
      </c>
      <c r="D281">
        <v>21159.280000000002</v>
      </c>
      <c r="E281">
        <v>25804</v>
      </c>
      <c r="F281">
        <v>2608</v>
      </c>
      <c r="G281" t="s">
        <v>159</v>
      </c>
      <c r="H281" t="s">
        <v>1349</v>
      </c>
      <c r="I281" t="s">
        <v>1447</v>
      </c>
      <c r="J281" t="s">
        <v>306</v>
      </c>
      <c r="K281" t="s">
        <v>307</v>
      </c>
      <c r="L281">
        <v>46240</v>
      </c>
      <c r="M281">
        <v>46240</v>
      </c>
      <c r="N281">
        <v>46240</v>
      </c>
      <c r="O281" t="s">
        <v>938</v>
      </c>
      <c r="P281" t="s">
        <v>939</v>
      </c>
      <c r="Q281" t="s">
        <v>328</v>
      </c>
      <c r="R281" t="s">
        <v>310</v>
      </c>
      <c r="S281" t="s">
        <v>209</v>
      </c>
      <c r="T281" t="s">
        <v>913</v>
      </c>
      <c r="U281">
        <v>779</v>
      </c>
      <c r="V281">
        <v>20884</v>
      </c>
      <c r="W281">
        <v>0</v>
      </c>
      <c r="X281">
        <v>4141</v>
      </c>
      <c r="Y281">
        <v>25804</v>
      </c>
      <c r="Z281">
        <v>0</v>
      </c>
      <c r="AA281" t="s">
        <v>204</v>
      </c>
      <c r="AB281">
        <v>25804</v>
      </c>
      <c r="AC281">
        <v>15998.48</v>
      </c>
      <c r="AE281">
        <v>10870</v>
      </c>
      <c r="AF281">
        <v>300</v>
      </c>
      <c r="AU281">
        <v>46248</v>
      </c>
      <c r="AV281">
        <v>46260</v>
      </c>
      <c r="AW281" t="s">
        <v>204</v>
      </c>
      <c r="AX281">
        <v>0</v>
      </c>
      <c r="AY281">
        <v>0</v>
      </c>
      <c r="AZ281" t="s">
        <v>313</v>
      </c>
      <c r="BD281">
        <v>8</v>
      </c>
      <c r="BE281">
        <v>20</v>
      </c>
      <c r="BF281" t="s">
        <v>314</v>
      </c>
      <c r="BG281" t="s">
        <v>153</v>
      </c>
      <c r="BH281">
        <v>19538.8</v>
      </c>
      <c r="BI281">
        <v>46255</v>
      </c>
      <c r="BJ281">
        <v>15</v>
      </c>
      <c r="BK281">
        <v>0</v>
      </c>
      <c r="BN281">
        <v>19538.8</v>
      </c>
      <c r="BO281">
        <v>6265.2000000000007</v>
      </c>
      <c r="BP281" t="str">
        <f t="shared" si="4"/>
        <v>HAEMBB</v>
      </c>
    </row>
    <row r="282" spans="1:68" x14ac:dyDescent="0.25">
      <c r="A282" t="s">
        <v>1448</v>
      </c>
      <c r="B282" t="s">
        <v>1449</v>
      </c>
      <c r="C282" t="s">
        <v>1450</v>
      </c>
      <c r="D282">
        <v>16321.279999999999</v>
      </c>
      <c r="E282">
        <v>19904</v>
      </c>
      <c r="F282">
        <v>2608</v>
      </c>
      <c r="G282" t="s">
        <v>159</v>
      </c>
      <c r="H282" t="s">
        <v>1349</v>
      </c>
      <c r="I282" t="s">
        <v>1451</v>
      </c>
      <c r="J282" t="s">
        <v>306</v>
      </c>
      <c r="K282" t="s">
        <v>307</v>
      </c>
      <c r="L282">
        <v>46238</v>
      </c>
      <c r="M282">
        <v>46238</v>
      </c>
      <c r="N282">
        <v>46238</v>
      </c>
      <c r="O282" t="s">
        <v>938</v>
      </c>
      <c r="P282" t="s">
        <v>939</v>
      </c>
      <c r="Q282" t="s">
        <v>328</v>
      </c>
      <c r="R282" t="s">
        <v>310</v>
      </c>
      <c r="S282" t="s">
        <v>206</v>
      </c>
      <c r="T282" t="s">
        <v>913</v>
      </c>
      <c r="U282">
        <v>779</v>
      </c>
      <c r="V282">
        <v>14984</v>
      </c>
      <c r="W282">
        <v>0</v>
      </c>
      <c r="X282">
        <v>4141</v>
      </c>
      <c r="Y282">
        <v>19904</v>
      </c>
      <c r="Z282">
        <v>0</v>
      </c>
      <c r="AA282" t="s">
        <v>204</v>
      </c>
      <c r="AB282">
        <v>19904</v>
      </c>
      <c r="AC282">
        <v>12340.48</v>
      </c>
      <c r="AE282">
        <v>8530</v>
      </c>
      <c r="AF282">
        <v>300</v>
      </c>
      <c r="AU282">
        <v>46240</v>
      </c>
      <c r="AV282">
        <v>46246</v>
      </c>
      <c r="AW282" t="s">
        <v>204</v>
      </c>
      <c r="AX282">
        <v>0</v>
      </c>
      <c r="AY282">
        <v>0</v>
      </c>
      <c r="AZ282" t="s">
        <v>313</v>
      </c>
      <c r="BD282">
        <v>2</v>
      </c>
      <c r="BE282">
        <v>8</v>
      </c>
      <c r="BF282" t="s">
        <v>314</v>
      </c>
      <c r="BG282" t="s">
        <v>153</v>
      </c>
      <c r="BH282">
        <v>15408.8</v>
      </c>
      <c r="BI282">
        <v>46250</v>
      </c>
      <c r="BJ282">
        <v>12</v>
      </c>
      <c r="BK282">
        <v>4495.2</v>
      </c>
      <c r="BL282">
        <v>46262</v>
      </c>
      <c r="BM282">
        <v>24</v>
      </c>
      <c r="BN282">
        <v>19904</v>
      </c>
      <c r="BO282">
        <v>0</v>
      </c>
      <c r="BP282" t="str">
        <f t="shared" si="4"/>
        <v>HAEMBB</v>
      </c>
    </row>
    <row r="283" spans="1:68" x14ac:dyDescent="0.25">
      <c r="A283" t="s">
        <v>1452</v>
      </c>
      <c r="B283" t="s">
        <v>1453</v>
      </c>
      <c r="C283" t="s">
        <v>1454</v>
      </c>
      <c r="D283">
        <v>11260.240000000002</v>
      </c>
      <c r="E283">
        <v>13732</v>
      </c>
      <c r="F283">
        <v>2608</v>
      </c>
      <c r="G283" t="s">
        <v>159</v>
      </c>
      <c r="H283" t="s">
        <v>1349</v>
      </c>
      <c r="I283" t="s">
        <v>1455</v>
      </c>
      <c r="J283" t="s">
        <v>306</v>
      </c>
      <c r="K283" t="s">
        <v>307</v>
      </c>
      <c r="L283">
        <v>46235</v>
      </c>
      <c r="M283">
        <v>46235</v>
      </c>
      <c r="N283">
        <v>46235</v>
      </c>
      <c r="O283" t="s">
        <v>938</v>
      </c>
      <c r="P283" t="s">
        <v>939</v>
      </c>
      <c r="Q283" t="s">
        <v>328</v>
      </c>
      <c r="R283" t="s">
        <v>310</v>
      </c>
      <c r="S283" t="s">
        <v>206</v>
      </c>
      <c r="T283" t="s">
        <v>1070</v>
      </c>
      <c r="U283">
        <v>779</v>
      </c>
      <c r="V283">
        <v>11400</v>
      </c>
      <c r="W283">
        <v>0</v>
      </c>
      <c r="X283">
        <v>1553</v>
      </c>
      <c r="Y283">
        <v>13732</v>
      </c>
      <c r="Z283">
        <v>0</v>
      </c>
      <c r="AA283" t="s">
        <v>204</v>
      </c>
      <c r="AB283">
        <v>13732</v>
      </c>
      <c r="AC283">
        <v>8513.84</v>
      </c>
      <c r="AD283">
        <v>7030</v>
      </c>
      <c r="AE283">
        <v>6730</v>
      </c>
      <c r="AF283">
        <v>300</v>
      </c>
      <c r="AG283">
        <v>0</v>
      </c>
      <c r="AH283" t="s">
        <v>312</v>
      </c>
      <c r="AI283" t="s">
        <v>312</v>
      </c>
      <c r="AJ283">
        <v>0</v>
      </c>
      <c r="AK283">
        <v>0</v>
      </c>
      <c r="AR283">
        <v>0</v>
      </c>
      <c r="AS283">
        <v>0</v>
      </c>
      <c r="AU283">
        <v>46238</v>
      </c>
      <c r="AV283">
        <v>46240</v>
      </c>
      <c r="AW283" t="s">
        <v>204</v>
      </c>
      <c r="AX283">
        <v>0</v>
      </c>
      <c r="AY283">
        <v>7030</v>
      </c>
      <c r="AZ283" t="s">
        <v>313</v>
      </c>
      <c r="BD283">
        <v>3</v>
      </c>
      <c r="BE283">
        <v>5</v>
      </c>
      <c r="BF283" t="s">
        <v>314</v>
      </c>
      <c r="BG283" t="s">
        <v>153</v>
      </c>
      <c r="BH283">
        <v>10312</v>
      </c>
      <c r="BI283">
        <v>46250</v>
      </c>
      <c r="BJ283">
        <v>15</v>
      </c>
      <c r="BK283">
        <v>3420</v>
      </c>
      <c r="BL283">
        <v>46262</v>
      </c>
      <c r="BM283">
        <v>27</v>
      </c>
      <c r="BN283">
        <v>13732</v>
      </c>
      <c r="BO283">
        <v>0</v>
      </c>
      <c r="BP283" t="str">
        <f t="shared" si="4"/>
        <v>HAEMBB</v>
      </c>
    </row>
    <row r="284" spans="1:68" x14ac:dyDescent="0.25">
      <c r="A284" t="s">
        <v>1456</v>
      </c>
      <c r="B284" t="s">
        <v>1457</v>
      </c>
      <c r="C284" t="s">
        <v>1458</v>
      </c>
      <c r="D284">
        <v>16079.380000000001</v>
      </c>
      <c r="E284">
        <v>19609</v>
      </c>
      <c r="F284">
        <v>2608</v>
      </c>
      <c r="G284" t="s">
        <v>159</v>
      </c>
      <c r="H284" t="s">
        <v>1349</v>
      </c>
      <c r="I284" t="s">
        <v>1459</v>
      </c>
      <c r="J284" t="s">
        <v>306</v>
      </c>
      <c r="K284" t="s">
        <v>307</v>
      </c>
      <c r="L284">
        <v>46244</v>
      </c>
      <c r="M284">
        <v>46244</v>
      </c>
      <c r="N284">
        <v>46244</v>
      </c>
      <c r="O284" t="s">
        <v>911</v>
      </c>
      <c r="P284" t="s">
        <v>912</v>
      </c>
      <c r="Q284" t="s">
        <v>328</v>
      </c>
      <c r="R284" t="s">
        <v>310</v>
      </c>
      <c r="S284" t="s">
        <v>206</v>
      </c>
      <c r="T284" t="s">
        <v>1259</v>
      </c>
      <c r="U284">
        <v>779</v>
      </c>
      <c r="V284">
        <v>14689</v>
      </c>
      <c r="W284">
        <v>0</v>
      </c>
      <c r="X284">
        <v>4141</v>
      </c>
      <c r="Y284">
        <v>19609</v>
      </c>
      <c r="Z284">
        <v>0</v>
      </c>
      <c r="AA284" t="s">
        <v>204</v>
      </c>
      <c r="AB284">
        <v>19609</v>
      </c>
      <c r="AC284">
        <v>12157.58</v>
      </c>
      <c r="AE284">
        <v>8540</v>
      </c>
      <c r="AF284">
        <v>300</v>
      </c>
      <c r="AU284">
        <v>46246</v>
      </c>
      <c r="AV284">
        <v>46251</v>
      </c>
      <c r="AW284" t="s">
        <v>204</v>
      </c>
      <c r="AX284">
        <v>0</v>
      </c>
      <c r="AY284">
        <v>0</v>
      </c>
      <c r="AZ284" t="s">
        <v>313</v>
      </c>
      <c r="BD284">
        <v>2</v>
      </c>
      <c r="BE284">
        <v>7</v>
      </c>
      <c r="BF284" t="s">
        <v>314</v>
      </c>
      <c r="BG284" t="s">
        <v>153</v>
      </c>
      <c r="BH284">
        <v>15202.3</v>
      </c>
      <c r="BI284">
        <v>46255</v>
      </c>
      <c r="BJ284">
        <v>11</v>
      </c>
      <c r="BK284">
        <v>4406.7</v>
      </c>
      <c r="BL284">
        <v>46269</v>
      </c>
      <c r="BM284">
        <v>25</v>
      </c>
      <c r="BN284">
        <v>19609</v>
      </c>
      <c r="BO284">
        <v>0</v>
      </c>
      <c r="BP284" t="str">
        <f t="shared" si="4"/>
        <v>HAEMBB</v>
      </c>
    </row>
    <row r="285" spans="1:68" x14ac:dyDescent="0.25">
      <c r="A285" t="s">
        <v>1460</v>
      </c>
      <c r="B285" t="s">
        <v>1461</v>
      </c>
      <c r="C285" t="s">
        <v>227</v>
      </c>
      <c r="D285">
        <v>14618.960000000001</v>
      </c>
      <c r="E285">
        <v>17828</v>
      </c>
      <c r="F285">
        <v>2608</v>
      </c>
      <c r="G285" t="s">
        <v>159</v>
      </c>
      <c r="H285" t="s">
        <v>1349</v>
      </c>
      <c r="I285" t="s">
        <v>1462</v>
      </c>
      <c r="J285" t="s">
        <v>306</v>
      </c>
      <c r="K285" t="s">
        <v>307</v>
      </c>
      <c r="L285">
        <v>46248</v>
      </c>
      <c r="M285">
        <v>46248</v>
      </c>
      <c r="N285">
        <v>46248</v>
      </c>
      <c r="O285" t="s">
        <v>318</v>
      </c>
      <c r="P285" t="s">
        <v>204</v>
      </c>
      <c r="Q285" t="s">
        <v>309</v>
      </c>
      <c r="R285" t="s">
        <v>310</v>
      </c>
      <c r="S285" t="s">
        <v>206</v>
      </c>
      <c r="T285" t="s">
        <v>1259</v>
      </c>
      <c r="U285">
        <v>779</v>
      </c>
      <c r="V285">
        <v>12908</v>
      </c>
      <c r="W285">
        <v>0</v>
      </c>
      <c r="X285">
        <v>4141</v>
      </c>
      <c r="Y285">
        <v>17828</v>
      </c>
      <c r="Z285">
        <v>0</v>
      </c>
      <c r="AA285" t="s">
        <v>204</v>
      </c>
      <c r="AB285">
        <v>17828</v>
      </c>
      <c r="AC285">
        <v>11053.36</v>
      </c>
      <c r="AE285">
        <v>0</v>
      </c>
      <c r="AU285">
        <v>46249</v>
      </c>
      <c r="AV285">
        <v>46261</v>
      </c>
      <c r="AW285" t="s">
        <v>204</v>
      </c>
      <c r="AX285">
        <v>0</v>
      </c>
      <c r="AY285">
        <v>0</v>
      </c>
      <c r="AZ285" t="s">
        <v>313</v>
      </c>
      <c r="BD285">
        <v>1</v>
      </c>
      <c r="BE285">
        <v>13</v>
      </c>
      <c r="BF285" t="s">
        <v>314</v>
      </c>
      <c r="BG285" t="s">
        <v>153</v>
      </c>
      <c r="BH285">
        <v>13955.599999999999</v>
      </c>
      <c r="BI285">
        <v>46262</v>
      </c>
      <c r="BJ285">
        <v>14</v>
      </c>
      <c r="BK285">
        <v>0</v>
      </c>
      <c r="BN285">
        <v>13955.599999999999</v>
      </c>
      <c r="BO285">
        <v>3872.4000000000015</v>
      </c>
      <c r="BP285" t="str">
        <f t="shared" si="4"/>
        <v>HAEMBB</v>
      </c>
    </row>
    <row r="286" spans="1:68" x14ac:dyDescent="0.25">
      <c r="A286" t="s">
        <v>1463</v>
      </c>
      <c r="B286" t="s">
        <v>1464</v>
      </c>
      <c r="C286" t="s">
        <v>1465</v>
      </c>
      <c r="D286">
        <v>10310.68</v>
      </c>
      <c r="E286">
        <v>12574</v>
      </c>
      <c r="F286">
        <v>2608</v>
      </c>
      <c r="G286" t="s">
        <v>159</v>
      </c>
      <c r="H286" t="s">
        <v>1349</v>
      </c>
      <c r="I286" t="s">
        <v>1466</v>
      </c>
      <c r="J286" t="s">
        <v>306</v>
      </c>
      <c r="K286" t="s">
        <v>307</v>
      </c>
      <c r="L286">
        <v>46238</v>
      </c>
      <c r="M286">
        <v>46238</v>
      </c>
      <c r="N286">
        <v>46238</v>
      </c>
      <c r="O286" t="s">
        <v>938</v>
      </c>
      <c r="P286" t="s">
        <v>939</v>
      </c>
      <c r="Q286" t="s">
        <v>328</v>
      </c>
      <c r="R286" t="s">
        <v>310</v>
      </c>
      <c r="S286" t="s">
        <v>206</v>
      </c>
      <c r="T286" t="s">
        <v>913</v>
      </c>
      <c r="U286">
        <v>779</v>
      </c>
      <c r="V286">
        <v>10242</v>
      </c>
      <c r="W286">
        <v>0</v>
      </c>
      <c r="X286">
        <v>1553</v>
      </c>
      <c r="Y286">
        <v>12574</v>
      </c>
      <c r="Z286">
        <v>0</v>
      </c>
      <c r="AA286" t="s">
        <v>204</v>
      </c>
      <c r="AB286">
        <v>12574</v>
      </c>
      <c r="AC286">
        <v>7795.88</v>
      </c>
      <c r="AE286">
        <v>6510</v>
      </c>
      <c r="AF286">
        <v>300</v>
      </c>
      <c r="AU286">
        <v>46244</v>
      </c>
      <c r="AV286">
        <v>46250</v>
      </c>
      <c r="AW286" t="s">
        <v>204</v>
      </c>
      <c r="AX286">
        <v>0</v>
      </c>
      <c r="AY286">
        <v>0</v>
      </c>
      <c r="AZ286" t="s">
        <v>313</v>
      </c>
      <c r="BD286">
        <v>6</v>
      </c>
      <c r="BE286">
        <v>12</v>
      </c>
      <c r="BF286" t="s">
        <v>314</v>
      </c>
      <c r="BG286" t="s">
        <v>153</v>
      </c>
      <c r="BH286">
        <v>9501.4</v>
      </c>
      <c r="BI286">
        <v>46255</v>
      </c>
      <c r="BJ286">
        <v>17</v>
      </c>
      <c r="BK286">
        <v>3072.6</v>
      </c>
      <c r="BL286">
        <v>46269</v>
      </c>
      <c r="BM286">
        <v>31</v>
      </c>
      <c r="BN286">
        <v>12574</v>
      </c>
      <c r="BO286">
        <v>0</v>
      </c>
      <c r="BP286" t="str">
        <f t="shared" si="4"/>
        <v>HAEMBB</v>
      </c>
    </row>
    <row r="287" spans="1:68" x14ac:dyDescent="0.25">
      <c r="A287" t="s">
        <v>1467</v>
      </c>
      <c r="B287" t="s">
        <v>1468</v>
      </c>
      <c r="C287" t="s">
        <v>1469</v>
      </c>
      <c r="D287">
        <v>18740.280000000002</v>
      </c>
      <c r="E287">
        <v>22854</v>
      </c>
      <c r="F287">
        <v>2608</v>
      </c>
      <c r="G287" t="s">
        <v>159</v>
      </c>
      <c r="H287" t="s">
        <v>1349</v>
      </c>
      <c r="I287" t="s">
        <v>1470</v>
      </c>
      <c r="J287" t="s">
        <v>306</v>
      </c>
      <c r="K287" t="s">
        <v>307</v>
      </c>
      <c r="L287">
        <v>46238</v>
      </c>
      <c r="M287">
        <v>46238</v>
      </c>
      <c r="N287">
        <v>46238</v>
      </c>
      <c r="O287" t="s">
        <v>1208</v>
      </c>
      <c r="P287" t="s">
        <v>1209</v>
      </c>
      <c r="Q287" t="s">
        <v>328</v>
      </c>
      <c r="R287" t="s">
        <v>310</v>
      </c>
      <c r="S287" t="s">
        <v>206</v>
      </c>
      <c r="T287" t="s">
        <v>913</v>
      </c>
      <c r="U287">
        <v>779</v>
      </c>
      <c r="V287">
        <v>17934</v>
      </c>
      <c r="W287">
        <v>0</v>
      </c>
      <c r="X287">
        <v>4141</v>
      </c>
      <c r="Y287">
        <v>22854</v>
      </c>
      <c r="Z287">
        <v>0</v>
      </c>
      <c r="AA287" t="s">
        <v>204</v>
      </c>
      <c r="AB287">
        <v>22854</v>
      </c>
      <c r="AC287">
        <v>14169.48</v>
      </c>
      <c r="AE287">
        <v>9500</v>
      </c>
      <c r="AF287">
        <v>300</v>
      </c>
      <c r="AU287">
        <v>46247</v>
      </c>
      <c r="AV287">
        <v>46252</v>
      </c>
      <c r="AW287" t="s">
        <v>204</v>
      </c>
      <c r="AX287">
        <v>0</v>
      </c>
      <c r="AY287">
        <v>0</v>
      </c>
      <c r="AZ287" t="s">
        <v>313</v>
      </c>
      <c r="BD287">
        <v>9</v>
      </c>
      <c r="BE287">
        <v>14</v>
      </c>
      <c r="BF287" t="s">
        <v>314</v>
      </c>
      <c r="BG287" t="s">
        <v>153</v>
      </c>
      <c r="BH287">
        <v>17473.8</v>
      </c>
      <c r="BI287">
        <v>46255</v>
      </c>
      <c r="BJ287">
        <v>17</v>
      </c>
      <c r="BK287">
        <v>5380.2</v>
      </c>
      <c r="BL287">
        <v>46269</v>
      </c>
      <c r="BM287">
        <v>31</v>
      </c>
      <c r="BN287">
        <v>22854</v>
      </c>
      <c r="BO287">
        <v>0</v>
      </c>
      <c r="BP287" t="str">
        <f t="shared" si="4"/>
        <v>HAEMBB</v>
      </c>
    </row>
    <row r="288" spans="1:68" x14ac:dyDescent="0.25">
      <c r="A288" t="s">
        <v>1471</v>
      </c>
      <c r="B288" t="s">
        <v>1472</v>
      </c>
      <c r="C288" t="s">
        <v>1473</v>
      </c>
      <c r="D288">
        <v>24222.799999999999</v>
      </c>
      <c r="E288">
        <v>29540</v>
      </c>
      <c r="F288">
        <v>2608</v>
      </c>
      <c r="G288" t="s">
        <v>159</v>
      </c>
      <c r="H288" t="s">
        <v>1349</v>
      </c>
      <c r="I288" t="s">
        <v>1474</v>
      </c>
      <c r="J288" t="s">
        <v>306</v>
      </c>
      <c r="K288" t="s">
        <v>307</v>
      </c>
      <c r="L288">
        <v>46239</v>
      </c>
      <c r="M288">
        <v>46239</v>
      </c>
      <c r="N288">
        <v>46239</v>
      </c>
      <c r="O288" t="s">
        <v>938</v>
      </c>
      <c r="P288" t="s">
        <v>939</v>
      </c>
      <c r="Q288" t="s">
        <v>328</v>
      </c>
      <c r="R288" t="s">
        <v>310</v>
      </c>
      <c r="S288" t="s">
        <v>209</v>
      </c>
      <c r="T288" t="s">
        <v>913</v>
      </c>
      <c r="U288">
        <v>779</v>
      </c>
      <c r="V288">
        <v>24620</v>
      </c>
      <c r="W288">
        <v>0</v>
      </c>
      <c r="X288">
        <v>4141</v>
      </c>
      <c r="Y288">
        <v>29540</v>
      </c>
      <c r="Z288">
        <v>0</v>
      </c>
      <c r="AA288" t="s">
        <v>204</v>
      </c>
      <c r="AB288">
        <v>29540</v>
      </c>
      <c r="AC288">
        <v>18314.8</v>
      </c>
      <c r="AE288">
        <v>12450</v>
      </c>
      <c r="AF288">
        <v>300</v>
      </c>
      <c r="AU288">
        <v>46245</v>
      </c>
      <c r="AV288">
        <v>46250</v>
      </c>
      <c r="AW288" t="s">
        <v>204</v>
      </c>
      <c r="AX288">
        <v>0</v>
      </c>
      <c r="AY288">
        <v>0</v>
      </c>
      <c r="AZ288" t="s">
        <v>313</v>
      </c>
      <c r="BD288">
        <v>6</v>
      </c>
      <c r="BE288">
        <v>11</v>
      </c>
      <c r="BF288" t="s">
        <v>314</v>
      </c>
      <c r="BG288" t="s">
        <v>153</v>
      </c>
      <c r="BH288">
        <v>22154</v>
      </c>
      <c r="BI288">
        <v>46250</v>
      </c>
      <c r="BJ288">
        <v>11</v>
      </c>
      <c r="BK288">
        <v>7386</v>
      </c>
      <c r="BL288">
        <v>46269</v>
      </c>
      <c r="BM288">
        <v>30</v>
      </c>
      <c r="BN288">
        <v>29540</v>
      </c>
      <c r="BO288">
        <v>0</v>
      </c>
      <c r="BP288" t="str">
        <f t="shared" si="4"/>
        <v>HAEMBB</v>
      </c>
    </row>
    <row r="289" spans="1:68" x14ac:dyDescent="0.25">
      <c r="A289" t="s">
        <v>1475</v>
      </c>
      <c r="B289" t="s">
        <v>1476</v>
      </c>
      <c r="C289" t="s">
        <v>228</v>
      </c>
      <c r="D289">
        <v>12943.7</v>
      </c>
      <c r="E289">
        <v>15785</v>
      </c>
      <c r="F289">
        <v>2608</v>
      </c>
      <c r="G289" t="s">
        <v>159</v>
      </c>
      <c r="H289" t="s">
        <v>1349</v>
      </c>
      <c r="I289" t="s">
        <v>1477</v>
      </c>
      <c r="J289" t="s">
        <v>306</v>
      </c>
      <c r="K289" t="s">
        <v>307</v>
      </c>
      <c r="L289">
        <v>46248</v>
      </c>
      <c r="M289">
        <v>46248</v>
      </c>
      <c r="N289">
        <v>46248</v>
      </c>
      <c r="O289" t="s">
        <v>318</v>
      </c>
      <c r="P289" t="s">
        <v>204</v>
      </c>
      <c r="Q289" t="s">
        <v>309</v>
      </c>
      <c r="R289" t="s">
        <v>310</v>
      </c>
      <c r="S289" t="s">
        <v>209</v>
      </c>
      <c r="T289" t="s">
        <v>1259</v>
      </c>
      <c r="U289">
        <v>779</v>
      </c>
      <c r="V289">
        <v>10865</v>
      </c>
      <c r="W289">
        <v>0</v>
      </c>
      <c r="X289">
        <v>4141</v>
      </c>
      <c r="Y289">
        <v>15785</v>
      </c>
      <c r="Z289">
        <v>0</v>
      </c>
      <c r="AA289" t="s">
        <v>204</v>
      </c>
      <c r="AB289">
        <v>15785</v>
      </c>
      <c r="AC289">
        <v>9786.7000000000007</v>
      </c>
      <c r="AE289">
        <v>0</v>
      </c>
      <c r="AU289">
        <v>46249</v>
      </c>
      <c r="AV289">
        <v>46255</v>
      </c>
      <c r="AW289" t="s">
        <v>204</v>
      </c>
      <c r="AX289">
        <v>0</v>
      </c>
      <c r="AY289">
        <v>0</v>
      </c>
      <c r="AZ289" t="s">
        <v>313</v>
      </c>
      <c r="BD289">
        <v>1</v>
      </c>
      <c r="BE289">
        <v>7</v>
      </c>
      <c r="BF289" t="s">
        <v>314</v>
      </c>
      <c r="BG289" t="s">
        <v>153</v>
      </c>
      <c r="BH289">
        <v>12525.5</v>
      </c>
      <c r="BI289">
        <v>46262</v>
      </c>
      <c r="BJ289">
        <v>14</v>
      </c>
      <c r="BK289">
        <v>0</v>
      </c>
      <c r="BN289">
        <v>12525.5</v>
      </c>
      <c r="BO289">
        <v>3259.5</v>
      </c>
      <c r="BP289" t="str">
        <f t="shared" si="4"/>
        <v>HAEMBB</v>
      </c>
    </row>
    <row r="290" spans="1:68" x14ac:dyDescent="0.25">
      <c r="A290" t="s">
        <v>1478</v>
      </c>
      <c r="B290" t="s">
        <v>1479</v>
      </c>
      <c r="C290" t="s">
        <v>1480</v>
      </c>
      <c r="D290">
        <v>13902.279999999999</v>
      </c>
      <c r="E290">
        <v>16954</v>
      </c>
      <c r="F290">
        <v>2608</v>
      </c>
      <c r="G290" t="s">
        <v>159</v>
      </c>
      <c r="H290" t="s">
        <v>1481</v>
      </c>
      <c r="I290" t="s">
        <v>1482</v>
      </c>
      <c r="J290" t="s">
        <v>306</v>
      </c>
      <c r="K290" t="s">
        <v>307</v>
      </c>
      <c r="L290">
        <v>46244</v>
      </c>
      <c r="M290">
        <v>46244</v>
      </c>
      <c r="N290">
        <v>46244</v>
      </c>
      <c r="O290" t="s">
        <v>326</v>
      </c>
      <c r="P290" t="s">
        <v>327</v>
      </c>
      <c r="Q290" t="s">
        <v>328</v>
      </c>
      <c r="R290" t="s">
        <v>310</v>
      </c>
      <c r="S290" t="s">
        <v>206</v>
      </c>
      <c r="T290" t="s">
        <v>1259</v>
      </c>
      <c r="U290">
        <v>779</v>
      </c>
      <c r="V290">
        <v>12034</v>
      </c>
      <c r="W290">
        <v>0</v>
      </c>
      <c r="X290">
        <v>4141</v>
      </c>
      <c r="Y290">
        <v>16954</v>
      </c>
      <c r="Z290">
        <v>0</v>
      </c>
      <c r="AA290" t="s">
        <v>204</v>
      </c>
      <c r="AB290">
        <v>16954</v>
      </c>
      <c r="AC290">
        <v>10511.48</v>
      </c>
      <c r="AE290">
        <v>6740</v>
      </c>
      <c r="AF290">
        <v>300</v>
      </c>
      <c r="AU290">
        <v>46245</v>
      </c>
      <c r="AV290">
        <v>46247</v>
      </c>
      <c r="AW290" t="s">
        <v>204</v>
      </c>
      <c r="AX290">
        <v>0</v>
      </c>
      <c r="AY290">
        <v>0</v>
      </c>
      <c r="AZ290" t="s">
        <v>313</v>
      </c>
      <c r="BD290">
        <v>1</v>
      </c>
      <c r="BE290">
        <v>3</v>
      </c>
      <c r="BF290" t="s">
        <v>314</v>
      </c>
      <c r="BG290" t="s">
        <v>153</v>
      </c>
      <c r="BH290">
        <v>13343.8</v>
      </c>
      <c r="BI290">
        <v>46255</v>
      </c>
      <c r="BJ290">
        <v>11</v>
      </c>
      <c r="BK290">
        <v>3610.2</v>
      </c>
      <c r="BL290">
        <v>46269</v>
      </c>
      <c r="BM290">
        <v>25</v>
      </c>
      <c r="BN290">
        <v>16954</v>
      </c>
      <c r="BO290">
        <v>0</v>
      </c>
      <c r="BP290" t="str">
        <f t="shared" si="4"/>
        <v>HAEMBB</v>
      </c>
    </row>
    <row r="291" spans="1:68" x14ac:dyDescent="0.25">
      <c r="A291" t="s">
        <v>1483</v>
      </c>
      <c r="B291" t="s">
        <v>1484</v>
      </c>
      <c r="C291" t="s">
        <v>217</v>
      </c>
      <c r="D291">
        <v>11260.24</v>
      </c>
      <c r="E291">
        <v>13732</v>
      </c>
      <c r="F291">
        <v>2606</v>
      </c>
      <c r="G291" t="s">
        <v>159</v>
      </c>
      <c r="H291" t="s">
        <v>1082</v>
      </c>
      <c r="I291" t="s">
        <v>1485</v>
      </c>
      <c r="J291" t="s">
        <v>306</v>
      </c>
      <c r="K291" t="s">
        <v>307</v>
      </c>
      <c r="L291">
        <v>46257</v>
      </c>
      <c r="M291">
        <v>46257</v>
      </c>
      <c r="N291">
        <v>46257</v>
      </c>
      <c r="O291" t="s">
        <v>318</v>
      </c>
      <c r="P291" t="s">
        <v>204</v>
      </c>
      <c r="Q291" t="s">
        <v>309</v>
      </c>
      <c r="R291" t="s">
        <v>310</v>
      </c>
      <c r="S291" t="s">
        <v>209</v>
      </c>
      <c r="T291" t="s">
        <v>1241</v>
      </c>
      <c r="U291">
        <v>779</v>
      </c>
      <c r="V291">
        <v>11400</v>
      </c>
      <c r="W291">
        <v>0</v>
      </c>
      <c r="X291">
        <v>1553</v>
      </c>
      <c r="Y291">
        <v>13732</v>
      </c>
      <c r="Z291">
        <v>0</v>
      </c>
      <c r="AA291" t="s">
        <v>204</v>
      </c>
      <c r="AB291">
        <v>13732</v>
      </c>
      <c r="AC291">
        <v>8513.84</v>
      </c>
      <c r="AU291">
        <v>46257</v>
      </c>
      <c r="AV291">
        <v>46260</v>
      </c>
      <c r="AW291" t="s">
        <v>204</v>
      </c>
      <c r="AX291">
        <v>0</v>
      </c>
      <c r="AY291">
        <v>0</v>
      </c>
      <c r="AZ291" t="s">
        <v>313</v>
      </c>
      <c r="BD291">
        <v>0</v>
      </c>
      <c r="BE291">
        <v>3</v>
      </c>
      <c r="BF291" t="s">
        <v>314</v>
      </c>
      <c r="BG291" t="s">
        <v>153</v>
      </c>
      <c r="BH291">
        <v>8690.7999999999993</v>
      </c>
      <c r="BI291">
        <v>46269</v>
      </c>
      <c r="BJ291">
        <v>12</v>
      </c>
      <c r="BK291">
        <v>0</v>
      </c>
      <c r="BN291">
        <v>8690.7999999999993</v>
      </c>
      <c r="BO291">
        <v>5041.2000000000007</v>
      </c>
      <c r="BP291" t="str">
        <f t="shared" si="4"/>
        <v>HAEMBB</v>
      </c>
    </row>
    <row r="292" spans="1:68" x14ac:dyDescent="0.25">
      <c r="A292" t="s">
        <v>1486</v>
      </c>
      <c r="B292" t="s">
        <v>1487</v>
      </c>
      <c r="C292" t="s">
        <v>1488</v>
      </c>
      <c r="D292">
        <v>22379.440000000002</v>
      </c>
      <c r="E292">
        <v>27292</v>
      </c>
      <c r="F292">
        <v>2608</v>
      </c>
      <c r="G292" t="s">
        <v>159</v>
      </c>
      <c r="H292" t="s">
        <v>1481</v>
      </c>
      <c r="I292" t="s">
        <v>1489</v>
      </c>
      <c r="J292" t="s">
        <v>306</v>
      </c>
      <c r="K292" t="s">
        <v>307</v>
      </c>
      <c r="N292">
        <v>0</v>
      </c>
      <c r="T292">
        <v>0</v>
      </c>
      <c r="U292">
        <v>779</v>
      </c>
      <c r="V292">
        <v>19977</v>
      </c>
      <c r="W292">
        <v>0</v>
      </c>
      <c r="X292">
        <v>6536</v>
      </c>
      <c r="Y292">
        <v>27292</v>
      </c>
      <c r="Z292">
        <v>0</v>
      </c>
      <c r="AA292" t="s">
        <v>204</v>
      </c>
      <c r="AB292">
        <v>27292</v>
      </c>
      <c r="AC292">
        <v>16921.04</v>
      </c>
      <c r="AW292" t="s">
        <v>204</v>
      </c>
      <c r="AX292">
        <v>0</v>
      </c>
      <c r="AY292">
        <v>0</v>
      </c>
      <c r="AZ292" t="s">
        <v>313</v>
      </c>
      <c r="BD292">
        <v>0</v>
      </c>
      <c r="BE292">
        <v>0</v>
      </c>
      <c r="BF292" t="s">
        <v>1057</v>
      </c>
      <c r="BG292" t="s">
        <v>153</v>
      </c>
      <c r="BH292">
        <v>0</v>
      </c>
      <c r="BJ292">
        <v>0</v>
      </c>
      <c r="BK292">
        <v>0</v>
      </c>
      <c r="BM292">
        <v>0</v>
      </c>
      <c r="BN292">
        <v>0</v>
      </c>
      <c r="BO292">
        <v>27292</v>
      </c>
      <c r="BP292" t="str">
        <f t="shared" si="4"/>
        <v>HAEMBB</v>
      </c>
    </row>
    <row r="293" spans="1:68" x14ac:dyDescent="0.25">
      <c r="A293" t="s">
        <v>1490</v>
      </c>
      <c r="B293" t="s">
        <v>1491</v>
      </c>
      <c r="C293" t="s">
        <v>1492</v>
      </c>
      <c r="D293">
        <v>11868.68</v>
      </c>
      <c r="E293">
        <v>14474</v>
      </c>
      <c r="F293">
        <v>2608</v>
      </c>
      <c r="G293" t="s">
        <v>159</v>
      </c>
      <c r="H293" t="s">
        <v>1481</v>
      </c>
      <c r="I293" t="s">
        <v>1493</v>
      </c>
      <c r="J293" t="s">
        <v>306</v>
      </c>
      <c r="K293" t="s">
        <v>307</v>
      </c>
      <c r="L293">
        <v>46241</v>
      </c>
      <c r="M293">
        <v>46241</v>
      </c>
      <c r="N293">
        <v>46241</v>
      </c>
      <c r="O293" t="s">
        <v>911</v>
      </c>
      <c r="P293" t="s">
        <v>912</v>
      </c>
      <c r="Q293" t="s">
        <v>328</v>
      </c>
      <c r="R293" t="s">
        <v>310</v>
      </c>
      <c r="S293" t="s">
        <v>209</v>
      </c>
      <c r="T293" t="s">
        <v>913</v>
      </c>
      <c r="U293">
        <v>779</v>
      </c>
      <c r="V293">
        <v>12142</v>
      </c>
      <c r="W293">
        <v>0</v>
      </c>
      <c r="X293">
        <v>1553</v>
      </c>
      <c r="Y293">
        <v>14474</v>
      </c>
      <c r="Z293">
        <v>0</v>
      </c>
      <c r="AA293" t="s">
        <v>204</v>
      </c>
      <c r="AB293">
        <v>14474</v>
      </c>
      <c r="AC293">
        <v>8973.8799999999992</v>
      </c>
      <c r="AE293">
        <v>7350</v>
      </c>
      <c r="AF293">
        <v>300</v>
      </c>
      <c r="AU293">
        <v>46244</v>
      </c>
      <c r="AV293">
        <v>46250</v>
      </c>
      <c r="AW293" t="s">
        <v>204</v>
      </c>
      <c r="AX293">
        <v>0</v>
      </c>
      <c r="AY293">
        <v>0</v>
      </c>
      <c r="AZ293" t="s">
        <v>313</v>
      </c>
      <c r="BD293">
        <v>3</v>
      </c>
      <c r="BE293">
        <v>9</v>
      </c>
      <c r="BF293" t="s">
        <v>314</v>
      </c>
      <c r="BG293" t="s">
        <v>153</v>
      </c>
      <c r="BH293">
        <v>10831.4</v>
      </c>
      <c r="BI293">
        <v>46250</v>
      </c>
      <c r="BJ293">
        <v>9</v>
      </c>
      <c r="BK293">
        <v>3642.6</v>
      </c>
      <c r="BL293">
        <v>46269</v>
      </c>
      <c r="BM293">
        <v>28</v>
      </c>
      <c r="BN293">
        <v>14474</v>
      </c>
      <c r="BO293">
        <v>0</v>
      </c>
      <c r="BP293" t="str">
        <f t="shared" si="4"/>
        <v>HAEMBB</v>
      </c>
    </row>
    <row r="294" spans="1:68" x14ac:dyDescent="0.25">
      <c r="A294" t="s">
        <v>1494</v>
      </c>
      <c r="B294" t="s">
        <v>1495</v>
      </c>
      <c r="C294" t="s">
        <v>1496</v>
      </c>
      <c r="D294">
        <v>25255.18</v>
      </c>
      <c r="E294">
        <v>30799</v>
      </c>
      <c r="F294">
        <v>2608</v>
      </c>
      <c r="G294" t="s">
        <v>159</v>
      </c>
      <c r="H294" t="s">
        <v>1481</v>
      </c>
      <c r="I294" t="s">
        <v>1497</v>
      </c>
      <c r="J294" t="s">
        <v>306</v>
      </c>
      <c r="K294" t="s">
        <v>307</v>
      </c>
      <c r="L294">
        <v>46260</v>
      </c>
      <c r="M294">
        <v>46261</v>
      </c>
      <c r="N294">
        <v>46261</v>
      </c>
      <c r="O294" t="s">
        <v>326</v>
      </c>
      <c r="P294" t="s">
        <v>327</v>
      </c>
      <c r="Q294" t="s">
        <v>328</v>
      </c>
      <c r="R294" t="s">
        <v>310</v>
      </c>
      <c r="S294" t="s">
        <v>209</v>
      </c>
      <c r="T294" t="s">
        <v>1032</v>
      </c>
      <c r="U294">
        <v>779</v>
      </c>
      <c r="V294">
        <v>23484</v>
      </c>
      <c r="W294">
        <v>0</v>
      </c>
      <c r="X294">
        <v>6536</v>
      </c>
      <c r="Y294">
        <v>30799</v>
      </c>
      <c r="Z294">
        <v>0</v>
      </c>
      <c r="AA294" t="s">
        <v>204</v>
      </c>
      <c r="AB294">
        <v>30799</v>
      </c>
      <c r="AC294">
        <v>19095.38</v>
      </c>
      <c r="AU294">
        <v>46262</v>
      </c>
      <c r="AV294">
        <v>46264</v>
      </c>
      <c r="AW294" t="s">
        <v>204</v>
      </c>
      <c r="AX294">
        <v>0</v>
      </c>
      <c r="AY294">
        <v>0</v>
      </c>
      <c r="AZ294" t="s">
        <v>313</v>
      </c>
      <c r="BD294">
        <v>1</v>
      </c>
      <c r="BE294">
        <v>3</v>
      </c>
      <c r="BF294" t="s">
        <v>314</v>
      </c>
      <c r="BG294" t="s">
        <v>153</v>
      </c>
      <c r="BH294">
        <v>35032.6</v>
      </c>
      <c r="BI294">
        <v>46269</v>
      </c>
      <c r="BJ294">
        <v>8</v>
      </c>
      <c r="BK294">
        <v>0</v>
      </c>
      <c r="BN294">
        <v>35032.6</v>
      </c>
      <c r="BO294">
        <v>-4233.5999999999985</v>
      </c>
      <c r="BP294" t="str">
        <f t="shared" si="4"/>
        <v>HAEMBB</v>
      </c>
    </row>
    <row r="295" spans="1:68" x14ac:dyDescent="0.25">
      <c r="A295" t="s">
        <v>1498</v>
      </c>
      <c r="B295" t="s">
        <v>1499</v>
      </c>
      <c r="C295" t="s">
        <v>1500</v>
      </c>
      <c r="D295">
        <v>20486.88</v>
      </c>
      <c r="E295">
        <v>24984</v>
      </c>
      <c r="F295">
        <v>2608</v>
      </c>
      <c r="G295" t="s">
        <v>152</v>
      </c>
      <c r="H295" t="s">
        <v>1178</v>
      </c>
      <c r="I295" t="s">
        <v>1501</v>
      </c>
      <c r="J295" t="s">
        <v>306</v>
      </c>
      <c r="K295" t="s">
        <v>307</v>
      </c>
      <c r="L295">
        <v>46249</v>
      </c>
      <c r="M295">
        <v>46251</v>
      </c>
      <c r="N295">
        <v>46251</v>
      </c>
      <c r="O295" t="s">
        <v>487</v>
      </c>
      <c r="P295" t="s">
        <v>204</v>
      </c>
      <c r="Q295" t="s">
        <v>309</v>
      </c>
      <c r="R295" t="s">
        <v>903</v>
      </c>
      <c r="S295" t="s">
        <v>1180</v>
      </c>
      <c r="T295" t="s">
        <v>1241</v>
      </c>
      <c r="U295">
        <v>0</v>
      </c>
      <c r="V295">
        <v>20255</v>
      </c>
      <c r="W295">
        <v>0</v>
      </c>
      <c r="X295">
        <v>4729</v>
      </c>
      <c r="Y295">
        <v>24984</v>
      </c>
      <c r="Z295">
        <v>0</v>
      </c>
      <c r="AA295" t="s">
        <v>204</v>
      </c>
      <c r="AB295">
        <v>24984</v>
      </c>
      <c r="AC295">
        <v>15490.08</v>
      </c>
      <c r="AE295">
        <v>0</v>
      </c>
      <c r="AU295">
        <v>46253</v>
      </c>
      <c r="AV295">
        <v>46254</v>
      </c>
      <c r="AW295" t="s">
        <v>204</v>
      </c>
      <c r="AX295">
        <v>0</v>
      </c>
      <c r="AY295">
        <v>0</v>
      </c>
      <c r="AZ295" t="s">
        <v>313</v>
      </c>
      <c r="BD295">
        <v>2</v>
      </c>
      <c r="BE295">
        <v>3</v>
      </c>
      <c r="BF295" t="s">
        <v>314</v>
      </c>
      <c r="BG295" t="s">
        <v>153</v>
      </c>
      <c r="BH295">
        <v>18907.5</v>
      </c>
      <c r="BI295">
        <v>46262</v>
      </c>
      <c r="BJ295">
        <v>11</v>
      </c>
      <c r="BK295">
        <v>0</v>
      </c>
      <c r="BN295">
        <v>18907.5</v>
      </c>
      <c r="BO295">
        <v>6076.5</v>
      </c>
      <c r="BP295" t="str">
        <f t="shared" si="4"/>
        <v>TMEMBB</v>
      </c>
    </row>
    <row r="296" spans="1:68" x14ac:dyDescent="0.25">
      <c r="A296" t="s">
        <v>1502</v>
      </c>
      <c r="B296" t="s">
        <v>1503</v>
      </c>
      <c r="C296" t="s">
        <v>1504</v>
      </c>
      <c r="D296">
        <v>16179.42</v>
      </c>
      <c r="E296">
        <v>19731</v>
      </c>
      <c r="F296">
        <v>2608</v>
      </c>
      <c r="G296" t="s">
        <v>152</v>
      </c>
      <c r="H296" t="s">
        <v>1178</v>
      </c>
      <c r="I296" t="s">
        <v>1505</v>
      </c>
      <c r="J296" t="s">
        <v>306</v>
      </c>
      <c r="K296" t="s">
        <v>307</v>
      </c>
      <c r="L296">
        <v>46254</v>
      </c>
      <c r="M296">
        <v>46255</v>
      </c>
      <c r="N296">
        <v>46255</v>
      </c>
      <c r="O296" t="s">
        <v>487</v>
      </c>
      <c r="P296" t="s">
        <v>204</v>
      </c>
      <c r="Q296" t="s">
        <v>309</v>
      </c>
      <c r="R296" t="s">
        <v>903</v>
      </c>
      <c r="S296" t="s">
        <v>1180</v>
      </c>
      <c r="T296" t="s">
        <v>1241</v>
      </c>
      <c r="U296">
        <v>0</v>
      </c>
      <c r="V296">
        <v>15002</v>
      </c>
      <c r="W296">
        <v>0</v>
      </c>
      <c r="X296">
        <v>4729</v>
      </c>
      <c r="Y296">
        <v>19731</v>
      </c>
      <c r="Z296">
        <v>0</v>
      </c>
      <c r="AA296" t="s">
        <v>204</v>
      </c>
      <c r="AB296">
        <v>19731</v>
      </c>
      <c r="AC296">
        <v>12233.22</v>
      </c>
      <c r="AE296">
        <v>0</v>
      </c>
      <c r="AU296">
        <v>46256</v>
      </c>
      <c r="AV296">
        <v>46258</v>
      </c>
      <c r="AW296" t="s">
        <v>204</v>
      </c>
      <c r="AX296">
        <v>0</v>
      </c>
      <c r="AY296">
        <v>0</v>
      </c>
      <c r="AZ296" t="s">
        <v>313</v>
      </c>
      <c r="BD296">
        <v>1</v>
      </c>
      <c r="BE296">
        <v>3</v>
      </c>
      <c r="BF296" t="s">
        <v>314</v>
      </c>
      <c r="BG296" t="s">
        <v>153</v>
      </c>
      <c r="BH296">
        <v>15230.399999999998</v>
      </c>
      <c r="BI296">
        <v>46269</v>
      </c>
      <c r="BJ296">
        <v>14</v>
      </c>
      <c r="BK296">
        <v>0</v>
      </c>
      <c r="BN296">
        <v>15230.399999999998</v>
      </c>
      <c r="BO296">
        <v>4500.6000000000022</v>
      </c>
      <c r="BP296" t="str">
        <f t="shared" si="4"/>
        <v>TMEMBB</v>
      </c>
    </row>
    <row r="297" spans="1:68" x14ac:dyDescent="0.25">
      <c r="A297" t="s">
        <v>1506</v>
      </c>
      <c r="B297" t="s">
        <v>1507</v>
      </c>
      <c r="C297" t="s">
        <v>1508</v>
      </c>
      <c r="D297">
        <v>15668.559999999998</v>
      </c>
      <c r="E297">
        <v>19108</v>
      </c>
      <c r="F297">
        <v>2608</v>
      </c>
      <c r="G297" t="s">
        <v>152</v>
      </c>
      <c r="H297" t="s">
        <v>1178</v>
      </c>
      <c r="I297" t="s">
        <v>1509</v>
      </c>
      <c r="J297" t="s">
        <v>306</v>
      </c>
      <c r="K297" t="s">
        <v>307</v>
      </c>
      <c r="L297">
        <v>46262</v>
      </c>
      <c r="M297">
        <v>46265</v>
      </c>
      <c r="N297">
        <v>46265</v>
      </c>
      <c r="O297" t="s">
        <v>487</v>
      </c>
      <c r="P297" t="s">
        <v>204</v>
      </c>
      <c r="Q297" t="s">
        <v>309</v>
      </c>
      <c r="R297" t="s">
        <v>903</v>
      </c>
      <c r="S297" t="s">
        <v>1180</v>
      </c>
      <c r="T297" t="s">
        <v>1408</v>
      </c>
      <c r="U297">
        <v>0</v>
      </c>
      <c r="V297">
        <v>14379</v>
      </c>
      <c r="W297">
        <v>0</v>
      </c>
      <c r="X297">
        <v>4729</v>
      </c>
      <c r="Y297">
        <v>19108</v>
      </c>
      <c r="Z297">
        <v>0</v>
      </c>
      <c r="AA297" t="s">
        <v>204</v>
      </c>
      <c r="AB297">
        <v>19108</v>
      </c>
      <c r="AC297">
        <v>11846.96</v>
      </c>
      <c r="AU297">
        <v>46265</v>
      </c>
      <c r="AV297">
        <v>46266</v>
      </c>
      <c r="AW297" t="s">
        <v>204</v>
      </c>
      <c r="AX297">
        <v>0</v>
      </c>
      <c r="AY297">
        <v>0</v>
      </c>
      <c r="AZ297" t="s">
        <v>313</v>
      </c>
      <c r="BD297">
        <v>0</v>
      </c>
      <c r="BE297">
        <v>1</v>
      </c>
      <c r="BF297" t="s">
        <v>314</v>
      </c>
      <c r="BG297" t="s">
        <v>153</v>
      </c>
      <c r="BH297">
        <v>4729</v>
      </c>
      <c r="BI297">
        <v>46272</v>
      </c>
      <c r="BJ297">
        <v>7</v>
      </c>
      <c r="BK297">
        <v>0</v>
      </c>
      <c r="BN297">
        <v>4729</v>
      </c>
      <c r="BO297">
        <v>14379</v>
      </c>
      <c r="BP297" t="str">
        <f t="shared" si="4"/>
        <v>TMEMBB</v>
      </c>
    </row>
    <row r="298" spans="1:68" x14ac:dyDescent="0.25">
      <c r="A298" t="s">
        <v>1510</v>
      </c>
      <c r="B298" t="s">
        <v>1511</v>
      </c>
      <c r="C298" t="s">
        <v>1512</v>
      </c>
      <c r="D298">
        <v>19456.96</v>
      </c>
      <c r="E298">
        <v>23728</v>
      </c>
      <c r="F298">
        <v>2608</v>
      </c>
      <c r="G298" t="s">
        <v>152</v>
      </c>
      <c r="H298" t="s">
        <v>1178</v>
      </c>
      <c r="I298" t="s">
        <v>1513</v>
      </c>
      <c r="J298" t="s">
        <v>306</v>
      </c>
      <c r="K298" t="s">
        <v>307</v>
      </c>
      <c r="L298">
        <v>46252</v>
      </c>
      <c r="M298">
        <v>46253</v>
      </c>
      <c r="N298">
        <v>46253</v>
      </c>
      <c r="O298" t="s">
        <v>487</v>
      </c>
      <c r="P298" t="s">
        <v>204</v>
      </c>
      <c r="Q298" t="s">
        <v>309</v>
      </c>
      <c r="R298" t="s">
        <v>903</v>
      </c>
      <c r="S298" t="s">
        <v>1180</v>
      </c>
      <c r="T298" t="s">
        <v>1241</v>
      </c>
      <c r="U298">
        <v>0</v>
      </c>
      <c r="V298">
        <v>18999</v>
      </c>
      <c r="W298">
        <v>0</v>
      </c>
      <c r="X298">
        <v>4729</v>
      </c>
      <c r="Y298">
        <v>23728</v>
      </c>
      <c r="Z298">
        <v>0</v>
      </c>
      <c r="AA298" t="s">
        <v>204</v>
      </c>
      <c r="AB298">
        <v>23728</v>
      </c>
      <c r="AC298">
        <v>14711.36</v>
      </c>
      <c r="AE298">
        <v>0</v>
      </c>
      <c r="AU298">
        <v>46252</v>
      </c>
      <c r="AV298">
        <v>46267</v>
      </c>
      <c r="AW298" t="s">
        <v>204</v>
      </c>
      <c r="AX298">
        <v>0</v>
      </c>
      <c r="AY298">
        <v>0</v>
      </c>
      <c r="AZ298" t="s">
        <v>313</v>
      </c>
      <c r="BD298">
        <v>-1</v>
      </c>
      <c r="BE298">
        <v>14</v>
      </c>
      <c r="BF298" t="s">
        <v>314</v>
      </c>
      <c r="BG298" t="s">
        <v>153</v>
      </c>
      <c r="BH298">
        <v>0</v>
      </c>
      <c r="BK298">
        <v>0</v>
      </c>
      <c r="BN298">
        <v>0</v>
      </c>
      <c r="BO298">
        <v>23728</v>
      </c>
      <c r="BP298" t="str">
        <f t="shared" si="4"/>
        <v>TMEMBB</v>
      </c>
    </row>
    <row r="299" spans="1:68" x14ac:dyDescent="0.25">
      <c r="A299" t="s">
        <v>1514</v>
      </c>
      <c r="B299" t="s">
        <v>1515</v>
      </c>
      <c r="C299" t="s">
        <v>1516</v>
      </c>
      <c r="D299">
        <v>20759.12</v>
      </c>
      <c r="E299">
        <v>25316</v>
      </c>
      <c r="F299">
        <v>2608</v>
      </c>
      <c r="G299" t="s">
        <v>152</v>
      </c>
      <c r="H299" t="s">
        <v>1178</v>
      </c>
      <c r="I299" t="s">
        <v>1517</v>
      </c>
      <c r="J299" t="s">
        <v>306</v>
      </c>
      <c r="K299" t="s">
        <v>307</v>
      </c>
      <c r="L299">
        <v>46243</v>
      </c>
      <c r="M299">
        <v>46247</v>
      </c>
      <c r="N299">
        <v>46247</v>
      </c>
      <c r="O299" t="s">
        <v>487</v>
      </c>
      <c r="P299" t="s">
        <v>204</v>
      </c>
      <c r="Q299" t="s">
        <v>309</v>
      </c>
      <c r="R299" t="s">
        <v>903</v>
      </c>
      <c r="S299" t="s">
        <v>1180</v>
      </c>
      <c r="T299" t="s">
        <v>1259</v>
      </c>
      <c r="U299">
        <v>0</v>
      </c>
      <c r="V299">
        <v>23763</v>
      </c>
      <c r="W299">
        <v>0</v>
      </c>
      <c r="X299">
        <v>1553</v>
      </c>
      <c r="Y299">
        <v>25316</v>
      </c>
      <c r="Z299">
        <v>0</v>
      </c>
      <c r="AA299" t="s">
        <v>204</v>
      </c>
      <c r="AB299">
        <v>25316</v>
      </c>
      <c r="AC299">
        <v>15695.92</v>
      </c>
      <c r="AE299">
        <v>0</v>
      </c>
      <c r="AU299">
        <v>46248</v>
      </c>
      <c r="AV299">
        <v>46249</v>
      </c>
      <c r="AW299" t="s">
        <v>204</v>
      </c>
      <c r="AX299">
        <v>0</v>
      </c>
      <c r="AY299">
        <v>0</v>
      </c>
      <c r="AZ299" t="s">
        <v>313</v>
      </c>
      <c r="BD299">
        <v>1</v>
      </c>
      <c r="BE299">
        <v>2</v>
      </c>
      <c r="BF299" t="s">
        <v>314</v>
      </c>
      <c r="BG299" t="s">
        <v>153</v>
      </c>
      <c r="BH299">
        <v>18187.099999999999</v>
      </c>
      <c r="BI299">
        <v>46255</v>
      </c>
      <c r="BJ299">
        <v>8</v>
      </c>
      <c r="BK299">
        <v>7128.9</v>
      </c>
      <c r="BL299">
        <v>46262</v>
      </c>
      <c r="BM299">
        <v>15</v>
      </c>
      <c r="BN299">
        <v>25316</v>
      </c>
      <c r="BO299">
        <v>0</v>
      </c>
      <c r="BP299" t="str">
        <f t="shared" si="4"/>
        <v>TMEMBB</v>
      </c>
    </row>
    <row r="300" spans="1:68" x14ac:dyDescent="0.25">
      <c r="A300" t="s">
        <v>1518</v>
      </c>
      <c r="B300" t="s">
        <v>1519</v>
      </c>
      <c r="C300" t="s">
        <v>1520</v>
      </c>
      <c r="D300">
        <v>25335.54</v>
      </c>
      <c r="E300">
        <v>30897</v>
      </c>
      <c r="F300">
        <v>2608</v>
      </c>
      <c r="G300" t="s">
        <v>152</v>
      </c>
      <c r="H300" t="s">
        <v>1178</v>
      </c>
      <c r="I300" t="s">
        <v>1521</v>
      </c>
      <c r="J300" t="s">
        <v>306</v>
      </c>
      <c r="K300" t="s">
        <v>307</v>
      </c>
      <c r="L300">
        <v>46241</v>
      </c>
      <c r="M300">
        <v>46243</v>
      </c>
      <c r="N300">
        <v>46243</v>
      </c>
      <c r="O300" t="s">
        <v>487</v>
      </c>
      <c r="P300" t="s">
        <v>204</v>
      </c>
      <c r="Q300" t="s">
        <v>309</v>
      </c>
      <c r="R300" t="s">
        <v>903</v>
      </c>
      <c r="S300" t="s">
        <v>1180</v>
      </c>
      <c r="T300" t="s">
        <v>913</v>
      </c>
      <c r="U300">
        <v>0</v>
      </c>
      <c r="V300">
        <v>26168</v>
      </c>
      <c r="W300">
        <v>0</v>
      </c>
      <c r="X300">
        <v>4729</v>
      </c>
      <c r="Y300">
        <v>30897</v>
      </c>
      <c r="Z300">
        <v>0</v>
      </c>
      <c r="AA300" t="s">
        <v>204</v>
      </c>
      <c r="AB300">
        <v>30897</v>
      </c>
      <c r="AC300">
        <v>19156.14</v>
      </c>
      <c r="AE300">
        <v>0</v>
      </c>
      <c r="AU300">
        <v>46251</v>
      </c>
      <c r="AV300">
        <v>46253</v>
      </c>
      <c r="AW300" t="s">
        <v>204</v>
      </c>
      <c r="AX300">
        <v>0</v>
      </c>
      <c r="AY300">
        <v>0</v>
      </c>
      <c r="AZ300" t="s">
        <v>313</v>
      </c>
      <c r="BD300">
        <v>8</v>
      </c>
      <c r="BE300">
        <v>10</v>
      </c>
      <c r="BF300" t="s">
        <v>314</v>
      </c>
      <c r="BG300" t="s">
        <v>153</v>
      </c>
      <c r="BH300">
        <v>23046.599999999995</v>
      </c>
      <c r="BI300">
        <v>46262</v>
      </c>
      <c r="BJ300">
        <v>19</v>
      </c>
      <c r="BK300">
        <v>7654.5</v>
      </c>
      <c r="BL300">
        <v>46269</v>
      </c>
      <c r="BM300">
        <v>26</v>
      </c>
      <c r="BN300">
        <v>30701.099999999995</v>
      </c>
      <c r="BO300">
        <v>195.90000000000509</v>
      </c>
      <c r="BP300" t="str">
        <f t="shared" si="4"/>
        <v>TMEMBB</v>
      </c>
    </row>
    <row r="301" spans="1:68" x14ac:dyDescent="0.25">
      <c r="A301" t="s">
        <v>1522</v>
      </c>
      <c r="B301" t="s">
        <v>1523</v>
      </c>
      <c r="C301" t="s">
        <v>1524</v>
      </c>
      <c r="D301">
        <v>13158.539999999999</v>
      </c>
      <c r="E301">
        <v>16047</v>
      </c>
      <c r="F301">
        <v>2608</v>
      </c>
      <c r="G301" t="s">
        <v>159</v>
      </c>
      <c r="H301" t="s">
        <v>1349</v>
      </c>
      <c r="I301" t="s">
        <v>1525</v>
      </c>
      <c r="J301" t="s">
        <v>306</v>
      </c>
      <c r="K301" t="s">
        <v>307</v>
      </c>
      <c r="L301">
        <v>46272</v>
      </c>
      <c r="N301">
        <v>0</v>
      </c>
      <c r="O301" t="s">
        <v>326</v>
      </c>
      <c r="P301" t="s">
        <v>327</v>
      </c>
      <c r="Q301" t="s">
        <v>328</v>
      </c>
      <c r="T301">
        <v>0</v>
      </c>
      <c r="U301">
        <v>779</v>
      </c>
      <c r="V301">
        <v>11127</v>
      </c>
      <c r="W301">
        <v>0</v>
      </c>
      <c r="X301">
        <v>4141</v>
      </c>
      <c r="Y301">
        <v>16047</v>
      </c>
      <c r="Z301">
        <v>0</v>
      </c>
      <c r="AB301">
        <v>16047</v>
      </c>
      <c r="AC301">
        <v>9949.14</v>
      </c>
      <c r="AW301" t="s">
        <v>204</v>
      </c>
      <c r="AX301">
        <v>0</v>
      </c>
      <c r="AY301">
        <v>0</v>
      </c>
      <c r="AZ301" t="s">
        <v>313</v>
      </c>
      <c r="BD301">
        <v>0</v>
      </c>
      <c r="BE301">
        <v>0</v>
      </c>
      <c r="BF301" t="s">
        <v>1057</v>
      </c>
      <c r="BG301" t="s">
        <v>153</v>
      </c>
      <c r="BH301">
        <v>0</v>
      </c>
      <c r="BJ301">
        <v>0</v>
      </c>
      <c r="BK301">
        <v>0</v>
      </c>
      <c r="BM301">
        <v>0</v>
      </c>
      <c r="BN301">
        <v>0</v>
      </c>
      <c r="BO301">
        <v>16047</v>
      </c>
      <c r="BP301" t="str">
        <f t="shared" si="4"/>
        <v>HAEMBB</v>
      </c>
    </row>
    <row r="302" spans="1:68" x14ac:dyDescent="0.25">
      <c r="A302" t="s">
        <v>1526</v>
      </c>
      <c r="B302" t="s">
        <v>1527</v>
      </c>
      <c r="C302" t="s">
        <v>1528</v>
      </c>
      <c r="D302">
        <v>14618.960000000001</v>
      </c>
      <c r="E302">
        <v>17828</v>
      </c>
      <c r="F302">
        <v>2608</v>
      </c>
      <c r="G302" t="s">
        <v>159</v>
      </c>
      <c r="H302" t="s">
        <v>1349</v>
      </c>
      <c r="I302" t="s">
        <v>1529</v>
      </c>
      <c r="J302" t="s">
        <v>306</v>
      </c>
      <c r="K302" t="s">
        <v>307</v>
      </c>
      <c r="L302">
        <v>46249</v>
      </c>
      <c r="M302">
        <v>46249</v>
      </c>
      <c r="N302">
        <v>46249</v>
      </c>
      <c r="O302" t="s">
        <v>1208</v>
      </c>
      <c r="P302" t="s">
        <v>1209</v>
      </c>
      <c r="Q302" t="s">
        <v>328</v>
      </c>
      <c r="R302" t="s">
        <v>310</v>
      </c>
      <c r="S302" t="s">
        <v>209</v>
      </c>
      <c r="T302" t="s">
        <v>1259</v>
      </c>
      <c r="U302">
        <v>779</v>
      </c>
      <c r="V302">
        <v>12908</v>
      </c>
      <c r="W302">
        <v>0</v>
      </c>
      <c r="X302">
        <v>4141</v>
      </c>
      <c r="Y302">
        <v>17828</v>
      </c>
      <c r="Z302">
        <v>0</v>
      </c>
      <c r="AA302" t="s">
        <v>204</v>
      </c>
      <c r="AB302">
        <v>17828</v>
      </c>
      <c r="AC302">
        <v>11053.36</v>
      </c>
      <c r="AE302">
        <v>7430</v>
      </c>
      <c r="AF302">
        <v>300</v>
      </c>
      <c r="AU302">
        <v>46251</v>
      </c>
      <c r="AV302">
        <v>46253</v>
      </c>
      <c r="AW302" t="s">
        <v>204</v>
      </c>
      <c r="AX302">
        <v>0</v>
      </c>
      <c r="AY302">
        <v>0</v>
      </c>
      <c r="AZ302" t="s">
        <v>313</v>
      </c>
      <c r="BD302">
        <v>2</v>
      </c>
      <c r="BE302">
        <v>4</v>
      </c>
      <c r="BF302" t="s">
        <v>314</v>
      </c>
      <c r="BG302" t="s">
        <v>153</v>
      </c>
      <c r="BH302">
        <v>13955.599999999999</v>
      </c>
      <c r="BI302">
        <v>46262</v>
      </c>
      <c r="BJ302">
        <v>13</v>
      </c>
      <c r="BK302">
        <v>3872.4</v>
      </c>
      <c r="BL302">
        <v>46269</v>
      </c>
      <c r="BM302">
        <v>20</v>
      </c>
      <c r="BN302">
        <v>17828</v>
      </c>
      <c r="BO302">
        <v>0</v>
      </c>
      <c r="BP302" t="str">
        <f t="shared" si="4"/>
        <v>HAEMBB</v>
      </c>
    </row>
    <row r="303" spans="1:68" x14ac:dyDescent="0.25">
      <c r="A303" t="s">
        <v>1530</v>
      </c>
      <c r="B303" t="s">
        <v>1531</v>
      </c>
      <c r="C303" t="s">
        <v>220</v>
      </c>
      <c r="D303">
        <v>19680.820000000003</v>
      </c>
      <c r="E303">
        <v>24001</v>
      </c>
      <c r="F303">
        <v>2608</v>
      </c>
      <c r="G303" t="s">
        <v>159</v>
      </c>
      <c r="H303" t="s">
        <v>1349</v>
      </c>
      <c r="I303" t="s">
        <v>1532</v>
      </c>
      <c r="J303" t="s">
        <v>306</v>
      </c>
      <c r="K303" t="s">
        <v>307</v>
      </c>
      <c r="L303">
        <v>46249</v>
      </c>
      <c r="M303">
        <v>46249</v>
      </c>
      <c r="N303">
        <v>46249</v>
      </c>
      <c r="O303" t="s">
        <v>938</v>
      </c>
      <c r="P303" t="s">
        <v>939</v>
      </c>
      <c r="Q303" t="s">
        <v>328</v>
      </c>
      <c r="R303" t="s">
        <v>310</v>
      </c>
      <c r="S303" t="s">
        <v>209</v>
      </c>
      <c r="T303" t="s">
        <v>1259</v>
      </c>
      <c r="U303">
        <v>779</v>
      </c>
      <c r="V303">
        <v>21907</v>
      </c>
      <c r="W303">
        <v>0</v>
      </c>
      <c r="X303">
        <v>4141</v>
      </c>
      <c r="Y303">
        <v>26827</v>
      </c>
      <c r="Z303">
        <v>2826</v>
      </c>
      <c r="AA303">
        <v>46253</v>
      </c>
      <c r="AB303">
        <v>29653</v>
      </c>
      <c r="AC303">
        <v>14880.62</v>
      </c>
      <c r="AE303">
        <v>9560</v>
      </c>
      <c r="AF303">
        <v>300</v>
      </c>
      <c r="AU303">
        <v>46254</v>
      </c>
      <c r="AV303">
        <v>46257</v>
      </c>
      <c r="AW303" t="s">
        <v>204</v>
      </c>
      <c r="AX303">
        <v>0</v>
      </c>
      <c r="AY303">
        <v>0</v>
      </c>
      <c r="AZ303" t="s">
        <v>313</v>
      </c>
      <c r="BD303">
        <v>5</v>
      </c>
      <c r="BE303">
        <v>8</v>
      </c>
      <c r="BF303" t="s">
        <v>314</v>
      </c>
      <c r="BG303" t="s">
        <v>153</v>
      </c>
      <c r="BH303">
        <v>20254.899999999994</v>
      </c>
      <c r="BI303">
        <v>46262</v>
      </c>
      <c r="BJ303">
        <v>13</v>
      </c>
      <c r="BK303">
        <v>0</v>
      </c>
      <c r="BN303">
        <v>20254.899999999994</v>
      </c>
      <c r="BO303">
        <v>9398.1000000000058</v>
      </c>
      <c r="BP303" t="str">
        <f t="shared" si="4"/>
        <v>HAEMBB</v>
      </c>
    </row>
    <row r="304" spans="1:68" x14ac:dyDescent="0.25">
      <c r="A304" t="s">
        <v>1533</v>
      </c>
      <c r="B304" t="s">
        <v>1534</v>
      </c>
      <c r="C304" t="s">
        <v>221</v>
      </c>
      <c r="D304">
        <v>22682.84</v>
      </c>
      <c r="E304">
        <v>27662</v>
      </c>
      <c r="F304">
        <v>2608</v>
      </c>
      <c r="G304" t="s">
        <v>159</v>
      </c>
      <c r="H304" t="s">
        <v>1349</v>
      </c>
      <c r="I304" t="s">
        <v>1535</v>
      </c>
      <c r="J304" t="s">
        <v>306</v>
      </c>
      <c r="K304" t="s">
        <v>307</v>
      </c>
      <c r="L304">
        <v>46246</v>
      </c>
      <c r="M304">
        <v>46246</v>
      </c>
      <c r="N304">
        <v>46246</v>
      </c>
      <c r="O304" t="s">
        <v>1208</v>
      </c>
      <c r="P304" t="s">
        <v>1209</v>
      </c>
      <c r="Q304" t="s">
        <v>328</v>
      </c>
      <c r="R304" t="s">
        <v>310</v>
      </c>
      <c r="S304" t="s">
        <v>209</v>
      </c>
      <c r="T304" t="s">
        <v>1259</v>
      </c>
      <c r="U304">
        <v>779</v>
      </c>
      <c r="V304">
        <v>22742</v>
      </c>
      <c r="W304">
        <v>0</v>
      </c>
      <c r="X304">
        <v>4141</v>
      </c>
      <c r="Y304">
        <v>27662</v>
      </c>
      <c r="Z304">
        <v>0</v>
      </c>
      <c r="AA304" t="s">
        <v>204</v>
      </c>
      <c r="AB304">
        <v>27662</v>
      </c>
      <c r="AC304">
        <v>17150.439999999999</v>
      </c>
      <c r="AE304">
        <v>12000</v>
      </c>
      <c r="AF304">
        <v>300</v>
      </c>
      <c r="AU304">
        <v>46249</v>
      </c>
      <c r="AV304">
        <v>46254</v>
      </c>
      <c r="AW304" t="s">
        <v>204</v>
      </c>
      <c r="AX304">
        <v>0</v>
      </c>
      <c r="AY304">
        <v>0</v>
      </c>
      <c r="AZ304" t="s">
        <v>313</v>
      </c>
      <c r="BD304">
        <v>3</v>
      </c>
      <c r="BE304">
        <v>8</v>
      </c>
      <c r="BF304" t="s">
        <v>314</v>
      </c>
      <c r="BG304" t="s">
        <v>153</v>
      </c>
      <c r="BH304">
        <v>20839.399999999998</v>
      </c>
      <c r="BI304">
        <v>46262</v>
      </c>
      <c r="BJ304">
        <v>16</v>
      </c>
      <c r="BK304">
        <v>0</v>
      </c>
      <c r="BN304">
        <v>20839.399999999998</v>
      </c>
      <c r="BO304">
        <v>6822.6000000000022</v>
      </c>
      <c r="BP304" t="str">
        <f t="shared" si="4"/>
        <v>HAEMBB</v>
      </c>
    </row>
    <row r="305" spans="1:68" x14ac:dyDescent="0.25">
      <c r="A305" t="s">
        <v>1536</v>
      </c>
      <c r="B305" t="s">
        <v>1537</v>
      </c>
      <c r="C305" t="s">
        <v>222</v>
      </c>
      <c r="D305">
        <v>12943.7</v>
      </c>
      <c r="E305">
        <v>15785</v>
      </c>
      <c r="F305">
        <v>2608</v>
      </c>
      <c r="G305" t="s">
        <v>159</v>
      </c>
      <c r="H305" t="s">
        <v>1349</v>
      </c>
      <c r="I305" t="s">
        <v>1538</v>
      </c>
      <c r="J305" t="s">
        <v>306</v>
      </c>
      <c r="K305" t="s">
        <v>307</v>
      </c>
      <c r="L305">
        <v>46249</v>
      </c>
      <c r="M305">
        <v>46249</v>
      </c>
      <c r="N305">
        <v>46249</v>
      </c>
      <c r="O305" t="s">
        <v>1208</v>
      </c>
      <c r="P305" t="s">
        <v>1209</v>
      </c>
      <c r="Q305" t="s">
        <v>328</v>
      </c>
      <c r="R305" t="s">
        <v>310</v>
      </c>
      <c r="S305" t="s">
        <v>211</v>
      </c>
      <c r="T305" t="s">
        <v>1259</v>
      </c>
      <c r="U305">
        <v>779</v>
      </c>
      <c r="V305">
        <v>10865</v>
      </c>
      <c r="W305">
        <v>0</v>
      </c>
      <c r="X305">
        <v>4141</v>
      </c>
      <c r="Y305">
        <v>15785</v>
      </c>
      <c r="Z305">
        <v>0</v>
      </c>
      <c r="AA305" t="s">
        <v>204</v>
      </c>
      <c r="AB305">
        <v>15785</v>
      </c>
      <c r="AC305">
        <v>9786.7000000000007</v>
      </c>
      <c r="AE305">
        <v>6210</v>
      </c>
      <c r="AF305">
        <v>300</v>
      </c>
      <c r="AU305">
        <v>46255</v>
      </c>
      <c r="AV305">
        <v>46258</v>
      </c>
      <c r="AW305" t="s">
        <v>204</v>
      </c>
      <c r="AX305">
        <v>0</v>
      </c>
      <c r="AY305">
        <v>0</v>
      </c>
      <c r="AZ305" t="s">
        <v>313</v>
      </c>
      <c r="BD305">
        <v>6</v>
      </c>
      <c r="BE305">
        <v>9</v>
      </c>
      <c r="BF305" t="s">
        <v>314</v>
      </c>
      <c r="BG305" t="s">
        <v>153</v>
      </c>
      <c r="BH305">
        <v>12525.5</v>
      </c>
      <c r="BI305">
        <v>46262</v>
      </c>
      <c r="BJ305">
        <v>13</v>
      </c>
      <c r="BK305">
        <v>0</v>
      </c>
      <c r="BN305">
        <v>12525.5</v>
      </c>
      <c r="BO305">
        <v>3259.5</v>
      </c>
      <c r="BP305" t="str">
        <f t="shared" si="4"/>
        <v>HAEMBB</v>
      </c>
    </row>
    <row r="306" spans="1:68" x14ac:dyDescent="0.25">
      <c r="A306" t="s">
        <v>1539</v>
      </c>
      <c r="B306" t="s">
        <v>1540</v>
      </c>
      <c r="C306" t="s">
        <v>223</v>
      </c>
      <c r="D306">
        <v>18937.079999999998</v>
      </c>
      <c r="E306">
        <v>23094</v>
      </c>
      <c r="F306">
        <v>2608</v>
      </c>
      <c r="G306" t="s">
        <v>159</v>
      </c>
      <c r="H306" t="s">
        <v>1349</v>
      </c>
      <c r="I306" t="s">
        <v>1541</v>
      </c>
      <c r="J306" t="s">
        <v>306</v>
      </c>
      <c r="K306" t="s">
        <v>307</v>
      </c>
      <c r="L306">
        <v>46248</v>
      </c>
      <c r="M306">
        <v>46248</v>
      </c>
      <c r="N306">
        <v>46248</v>
      </c>
      <c r="O306" t="s">
        <v>1208</v>
      </c>
      <c r="P306" t="s">
        <v>1209</v>
      </c>
      <c r="Q306" t="s">
        <v>328</v>
      </c>
      <c r="R306" t="s">
        <v>310</v>
      </c>
      <c r="S306" t="s">
        <v>209</v>
      </c>
      <c r="T306" t="s">
        <v>1259</v>
      </c>
      <c r="U306">
        <v>779</v>
      </c>
      <c r="V306">
        <v>18174</v>
      </c>
      <c r="W306">
        <v>0</v>
      </c>
      <c r="X306">
        <v>4141</v>
      </c>
      <c r="Y306">
        <v>23094</v>
      </c>
      <c r="Z306">
        <v>0</v>
      </c>
      <c r="AA306" t="s">
        <v>204</v>
      </c>
      <c r="AB306">
        <v>23094</v>
      </c>
      <c r="AC306">
        <v>14318.28</v>
      </c>
      <c r="AE306">
        <v>9740</v>
      </c>
      <c r="AF306">
        <v>300</v>
      </c>
      <c r="AU306">
        <v>46251</v>
      </c>
      <c r="AV306">
        <v>46254</v>
      </c>
      <c r="AW306" t="s">
        <v>204</v>
      </c>
      <c r="AX306">
        <v>0</v>
      </c>
      <c r="AY306">
        <v>0</v>
      </c>
      <c r="AZ306" t="s">
        <v>313</v>
      </c>
      <c r="BD306">
        <v>3</v>
      </c>
      <c r="BE306">
        <v>6</v>
      </c>
      <c r="BF306" t="s">
        <v>314</v>
      </c>
      <c r="BG306" t="s">
        <v>153</v>
      </c>
      <c r="BH306">
        <v>17641.8</v>
      </c>
      <c r="BI306">
        <v>46262</v>
      </c>
      <c r="BJ306">
        <v>14</v>
      </c>
      <c r="BK306">
        <v>0</v>
      </c>
      <c r="BN306">
        <v>17641.8</v>
      </c>
      <c r="BO306">
        <v>5452.2000000000007</v>
      </c>
      <c r="BP306" t="str">
        <f t="shared" si="4"/>
        <v>HAEMBB</v>
      </c>
    </row>
    <row r="307" spans="1:68" x14ac:dyDescent="0.25">
      <c r="A307" t="s">
        <v>1542</v>
      </c>
      <c r="B307" t="s">
        <v>1543</v>
      </c>
      <c r="C307" t="s">
        <v>224</v>
      </c>
      <c r="D307">
        <v>17037.96</v>
      </c>
      <c r="E307">
        <v>20778</v>
      </c>
      <c r="F307">
        <v>2608</v>
      </c>
      <c r="G307" t="s">
        <v>159</v>
      </c>
      <c r="H307" t="s">
        <v>1349</v>
      </c>
      <c r="I307" t="s">
        <v>1544</v>
      </c>
      <c r="J307" t="s">
        <v>306</v>
      </c>
      <c r="K307" t="s">
        <v>307</v>
      </c>
      <c r="L307">
        <v>46246</v>
      </c>
      <c r="M307">
        <v>46246</v>
      </c>
      <c r="N307">
        <v>46246</v>
      </c>
      <c r="O307" t="s">
        <v>938</v>
      </c>
      <c r="P307" t="s">
        <v>939</v>
      </c>
      <c r="Q307" t="s">
        <v>328</v>
      </c>
      <c r="R307" t="s">
        <v>310</v>
      </c>
      <c r="S307" t="s">
        <v>206</v>
      </c>
      <c r="T307" t="s">
        <v>1259</v>
      </c>
      <c r="U307">
        <v>779</v>
      </c>
      <c r="V307">
        <v>15858</v>
      </c>
      <c r="W307">
        <v>0</v>
      </c>
      <c r="X307">
        <v>4141</v>
      </c>
      <c r="Y307">
        <v>20778</v>
      </c>
      <c r="Z307">
        <v>0</v>
      </c>
      <c r="AA307" t="s">
        <v>204</v>
      </c>
      <c r="AB307">
        <v>20778</v>
      </c>
      <c r="AC307">
        <v>12882.36</v>
      </c>
      <c r="AE307">
        <v>9000</v>
      </c>
      <c r="AF307">
        <v>300</v>
      </c>
      <c r="AU307">
        <v>46247</v>
      </c>
      <c r="AV307">
        <v>46252</v>
      </c>
      <c r="AW307" t="s">
        <v>204</v>
      </c>
      <c r="AX307">
        <v>0</v>
      </c>
      <c r="AY307">
        <v>0</v>
      </c>
      <c r="AZ307" t="s">
        <v>313</v>
      </c>
      <c r="BD307">
        <v>1</v>
      </c>
      <c r="BE307">
        <v>6</v>
      </c>
      <c r="BF307" t="s">
        <v>314</v>
      </c>
      <c r="BG307" t="s">
        <v>153</v>
      </c>
      <c r="BH307">
        <v>779</v>
      </c>
      <c r="BI307">
        <v>46269</v>
      </c>
      <c r="BJ307">
        <v>23</v>
      </c>
      <c r="BK307">
        <v>0</v>
      </c>
      <c r="BN307">
        <v>779</v>
      </c>
      <c r="BO307">
        <v>19999</v>
      </c>
      <c r="BP307" t="str">
        <f t="shared" si="4"/>
        <v>HAEMBB</v>
      </c>
    </row>
    <row r="308" spans="1:68" x14ac:dyDescent="0.25">
      <c r="A308" t="s">
        <v>1545</v>
      </c>
      <c r="B308" t="s">
        <v>1546</v>
      </c>
      <c r="C308" t="s">
        <v>1547</v>
      </c>
      <c r="D308">
        <v>13158.539999999999</v>
      </c>
      <c r="E308">
        <v>16047</v>
      </c>
      <c r="F308">
        <v>2608</v>
      </c>
      <c r="G308" t="s">
        <v>159</v>
      </c>
      <c r="H308" t="s">
        <v>1349</v>
      </c>
      <c r="I308" t="s">
        <v>1548</v>
      </c>
      <c r="J308" t="s">
        <v>306</v>
      </c>
      <c r="K308" t="s">
        <v>307</v>
      </c>
      <c r="L308">
        <v>46246</v>
      </c>
      <c r="M308">
        <v>46246</v>
      </c>
      <c r="N308">
        <v>46246</v>
      </c>
      <c r="O308" t="s">
        <v>911</v>
      </c>
      <c r="P308" t="s">
        <v>912</v>
      </c>
      <c r="Q308" t="s">
        <v>328</v>
      </c>
      <c r="R308" t="s">
        <v>310</v>
      </c>
      <c r="S308" t="s">
        <v>206</v>
      </c>
      <c r="T308" t="s">
        <v>1259</v>
      </c>
      <c r="U308">
        <v>779</v>
      </c>
      <c r="V308">
        <v>11127</v>
      </c>
      <c r="W308">
        <v>0</v>
      </c>
      <c r="X308">
        <v>4141</v>
      </c>
      <c r="Y308">
        <v>16047</v>
      </c>
      <c r="Z308">
        <v>0</v>
      </c>
      <c r="AA308" t="s">
        <v>204</v>
      </c>
      <c r="AB308">
        <v>16047</v>
      </c>
      <c r="AC308">
        <v>9949.14</v>
      </c>
      <c r="AE308">
        <v>6920</v>
      </c>
      <c r="AF308">
        <v>300</v>
      </c>
      <c r="AU308">
        <v>46248</v>
      </c>
      <c r="AV308">
        <v>46250</v>
      </c>
      <c r="AW308" t="s">
        <v>204</v>
      </c>
      <c r="AX308">
        <v>0</v>
      </c>
      <c r="AY308">
        <v>0</v>
      </c>
      <c r="AZ308" t="s">
        <v>313</v>
      </c>
      <c r="BD308">
        <v>2</v>
      </c>
      <c r="BE308">
        <v>4</v>
      </c>
      <c r="BF308" t="s">
        <v>314</v>
      </c>
      <c r="BG308" t="s">
        <v>153</v>
      </c>
      <c r="BH308">
        <v>12708.9</v>
      </c>
      <c r="BI308">
        <v>46262</v>
      </c>
      <c r="BJ308">
        <v>16</v>
      </c>
      <c r="BK308">
        <v>3338.1</v>
      </c>
      <c r="BL308">
        <v>46269</v>
      </c>
      <c r="BM308">
        <v>23</v>
      </c>
      <c r="BN308">
        <v>16047</v>
      </c>
      <c r="BO308">
        <v>0</v>
      </c>
      <c r="BP308" t="str">
        <f t="shared" si="4"/>
        <v>HAEMBB</v>
      </c>
    </row>
    <row r="309" spans="1:68" x14ac:dyDescent="0.25">
      <c r="A309" t="s">
        <v>1549</v>
      </c>
      <c r="B309" t="s">
        <v>1550</v>
      </c>
      <c r="C309" t="s">
        <v>1551</v>
      </c>
      <c r="D309">
        <v>12943.7</v>
      </c>
      <c r="E309">
        <v>15785</v>
      </c>
      <c r="F309">
        <v>2608</v>
      </c>
      <c r="G309" t="s">
        <v>159</v>
      </c>
      <c r="H309" t="s">
        <v>1349</v>
      </c>
      <c r="I309" t="s">
        <v>1552</v>
      </c>
      <c r="J309" t="s">
        <v>306</v>
      </c>
      <c r="K309" t="s">
        <v>307</v>
      </c>
      <c r="L309">
        <v>46246</v>
      </c>
      <c r="M309">
        <v>46246</v>
      </c>
      <c r="N309">
        <v>46246</v>
      </c>
      <c r="O309" t="s">
        <v>911</v>
      </c>
      <c r="P309" t="s">
        <v>912</v>
      </c>
      <c r="Q309" t="s">
        <v>328</v>
      </c>
      <c r="R309" t="s">
        <v>310</v>
      </c>
      <c r="S309" t="s">
        <v>206</v>
      </c>
      <c r="T309" t="s">
        <v>1259</v>
      </c>
      <c r="U309">
        <v>779</v>
      </c>
      <c r="V309">
        <v>10865</v>
      </c>
      <c r="W309">
        <v>0</v>
      </c>
      <c r="X309">
        <v>4141</v>
      </c>
      <c r="Y309">
        <v>15785</v>
      </c>
      <c r="Z309">
        <v>0</v>
      </c>
      <c r="AA309" t="s">
        <v>204</v>
      </c>
      <c r="AB309">
        <v>15785</v>
      </c>
      <c r="AC309">
        <v>9786.7000000000007</v>
      </c>
      <c r="AE309">
        <v>6800</v>
      </c>
      <c r="AF309">
        <v>300</v>
      </c>
      <c r="AU309">
        <v>46248</v>
      </c>
      <c r="AV309">
        <v>46250</v>
      </c>
      <c r="AW309" t="s">
        <v>204</v>
      </c>
      <c r="AX309">
        <v>0</v>
      </c>
      <c r="AY309">
        <v>0</v>
      </c>
      <c r="AZ309" t="s">
        <v>313</v>
      </c>
      <c r="BD309">
        <v>2</v>
      </c>
      <c r="BE309">
        <v>4</v>
      </c>
      <c r="BF309" t="s">
        <v>314</v>
      </c>
      <c r="BG309" t="s">
        <v>153</v>
      </c>
      <c r="BH309">
        <v>12525.5</v>
      </c>
      <c r="BI309">
        <v>46262</v>
      </c>
      <c r="BJ309">
        <v>16</v>
      </c>
      <c r="BK309">
        <v>3259.5</v>
      </c>
      <c r="BL309">
        <v>46269</v>
      </c>
      <c r="BM309">
        <v>23</v>
      </c>
      <c r="BN309">
        <v>15785</v>
      </c>
      <c r="BO309">
        <v>0</v>
      </c>
      <c r="BP309" t="str">
        <f t="shared" si="4"/>
        <v>HAEMBB</v>
      </c>
    </row>
    <row r="310" spans="1:68" x14ac:dyDescent="0.25">
      <c r="A310" t="s">
        <v>1553</v>
      </c>
      <c r="B310" t="s">
        <v>1554</v>
      </c>
      <c r="C310" t="s">
        <v>225</v>
      </c>
      <c r="D310">
        <v>16527.099999999999</v>
      </c>
      <c r="E310">
        <v>20155</v>
      </c>
      <c r="F310">
        <v>2608</v>
      </c>
      <c r="G310" t="s">
        <v>159</v>
      </c>
      <c r="H310" t="s">
        <v>1349</v>
      </c>
      <c r="I310" t="s">
        <v>1555</v>
      </c>
      <c r="J310" t="s">
        <v>306</v>
      </c>
      <c r="K310" t="s">
        <v>307</v>
      </c>
      <c r="L310">
        <v>46247</v>
      </c>
      <c r="M310">
        <v>46247</v>
      </c>
      <c r="N310">
        <v>46247</v>
      </c>
      <c r="O310" t="s">
        <v>1208</v>
      </c>
      <c r="P310" t="s">
        <v>1209</v>
      </c>
      <c r="Q310" t="s">
        <v>328</v>
      </c>
      <c r="R310" t="s">
        <v>310</v>
      </c>
      <c r="S310" t="s">
        <v>209</v>
      </c>
      <c r="T310" t="s">
        <v>1259</v>
      </c>
      <c r="U310">
        <v>779</v>
      </c>
      <c r="V310">
        <v>15235</v>
      </c>
      <c r="W310">
        <v>0</v>
      </c>
      <c r="X310">
        <v>4141</v>
      </c>
      <c r="Y310">
        <v>20155</v>
      </c>
      <c r="Z310">
        <v>0</v>
      </c>
      <c r="AA310" t="s">
        <v>204</v>
      </c>
      <c r="AB310">
        <v>20155</v>
      </c>
      <c r="AC310">
        <v>12496.1</v>
      </c>
      <c r="AE310">
        <v>8710</v>
      </c>
      <c r="AF310">
        <v>300</v>
      </c>
      <c r="AU310">
        <v>46250</v>
      </c>
      <c r="AV310">
        <v>46255</v>
      </c>
      <c r="AW310" t="s">
        <v>204</v>
      </c>
      <c r="AX310">
        <v>0</v>
      </c>
      <c r="AY310">
        <v>0</v>
      </c>
      <c r="AZ310" t="s">
        <v>313</v>
      </c>
      <c r="BD310">
        <v>3</v>
      </c>
      <c r="BE310">
        <v>8</v>
      </c>
      <c r="BF310" t="s">
        <v>314</v>
      </c>
      <c r="BG310" t="s">
        <v>153</v>
      </c>
      <c r="BH310">
        <v>15584.5</v>
      </c>
      <c r="BI310">
        <v>46262</v>
      </c>
      <c r="BJ310">
        <v>15</v>
      </c>
      <c r="BK310">
        <v>0</v>
      </c>
      <c r="BN310">
        <v>15584.5</v>
      </c>
      <c r="BO310">
        <v>4570.5</v>
      </c>
      <c r="BP310" t="str">
        <f t="shared" si="4"/>
        <v>HAEMBB</v>
      </c>
    </row>
    <row r="311" spans="1:68" x14ac:dyDescent="0.25">
      <c r="A311" t="s">
        <v>1556</v>
      </c>
      <c r="B311" t="s">
        <v>1557</v>
      </c>
      <c r="C311" t="s">
        <v>1558</v>
      </c>
      <c r="D311">
        <v>17221.640000000003</v>
      </c>
      <c r="E311">
        <v>21002</v>
      </c>
      <c r="F311">
        <v>2608</v>
      </c>
      <c r="G311" t="s">
        <v>159</v>
      </c>
      <c r="H311" t="s">
        <v>1349</v>
      </c>
      <c r="I311" t="s">
        <v>1559</v>
      </c>
      <c r="J311" t="s">
        <v>306</v>
      </c>
      <c r="K311" t="s">
        <v>307</v>
      </c>
      <c r="L311">
        <v>46246</v>
      </c>
      <c r="M311">
        <v>46246</v>
      </c>
      <c r="N311">
        <v>46246</v>
      </c>
      <c r="O311" t="s">
        <v>326</v>
      </c>
      <c r="P311" t="s">
        <v>327</v>
      </c>
      <c r="Q311" t="s">
        <v>328</v>
      </c>
      <c r="R311" t="s">
        <v>310</v>
      </c>
      <c r="S311" t="s">
        <v>206</v>
      </c>
      <c r="T311" t="s">
        <v>1259</v>
      </c>
      <c r="U311">
        <v>779</v>
      </c>
      <c r="V311">
        <v>16082</v>
      </c>
      <c r="W311">
        <v>0</v>
      </c>
      <c r="X311">
        <v>4141</v>
      </c>
      <c r="Y311">
        <v>21002</v>
      </c>
      <c r="Z311">
        <v>0</v>
      </c>
      <c r="AA311" t="s">
        <v>204</v>
      </c>
      <c r="AB311">
        <v>21002</v>
      </c>
      <c r="AC311">
        <v>13021.24</v>
      </c>
      <c r="AE311">
        <v>8810</v>
      </c>
      <c r="AF311">
        <v>300</v>
      </c>
      <c r="AU311">
        <v>46251</v>
      </c>
      <c r="AV311">
        <v>46260</v>
      </c>
      <c r="AW311" t="s">
        <v>204</v>
      </c>
      <c r="AX311">
        <v>0</v>
      </c>
      <c r="AY311">
        <v>0</v>
      </c>
      <c r="AZ311" t="s">
        <v>313</v>
      </c>
      <c r="BD311">
        <v>5</v>
      </c>
      <c r="BE311">
        <v>14</v>
      </c>
      <c r="BF311" t="s">
        <v>314</v>
      </c>
      <c r="BG311" t="s">
        <v>153</v>
      </c>
      <c r="BH311">
        <v>16177.4</v>
      </c>
      <c r="BI311">
        <v>46262</v>
      </c>
      <c r="BJ311">
        <v>16</v>
      </c>
      <c r="BK311">
        <v>4824.6000000000004</v>
      </c>
      <c r="BL311">
        <v>46269</v>
      </c>
      <c r="BM311">
        <v>23</v>
      </c>
      <c r="BN311">
        <v>21002</v>
      </c>
      <c r="BO311">
        <v>0</v>
      </c>
      <c r="BP311" t="str">
        <f t="shared" si="4"/>
        <v>HAEMBB</v>
      </c>
    </row>
    <row r="312" spans="1:68" x14ac:dyDescent="0.25">
      <c r="A312" t="s">
        <v>1560</v>
      </c>
      <c r="B312" t="s">
        <v>1561</v>
      </c>
      <c r="C312" t="s">
        <v>226</v>
      </c>
      <c r="D312">
        <v>14413.140000000001</v>
      </c>
      <c r="E312">
        <v>17577</v>
      </c>
      <c r="F312">
        <v>2608</v>
      </c>
      <c r="G312" t="s">
        <v>159</v>
      </c>
      <c r="H312" t="s">
        <v>1349</v>
      </c>
      <c r="I312" t="s">
        <v>1562</v>
      </c>
      <c r="J312" t="s">
        <v>306</v>
      </c>
      <c r="K312" t="s">
        <v>307</v>
      </c>
      <c r="L312">
        <v>46247</v>
      </c>
      <c r="M312">
        <v>46247</v>
      </c>
      <c r="N312">
        <v>46247</v>
      </c>
      <c r="O312" t="s">
        <v>938</v>
      </c>
      <c r="P312" t="s">
        <v>939</v>
      </c>
      <c r="Q312" t="s">
        <v>328</v>
      </c>
      <c r="R312" t="s">
        <v>310</v>
      </c>
      <c r="S312" t="s">
        <v>209</v>
      </c>
      <c r="T312" t="s">
        <v>1259</v>
      </c>
      <c r="U312">
        <v>779</v>
      </c>
      <c r="V312">
        <v>12657</v>
      </c>
      <c r="W312">
        <v>0</v>
      </c>
      <c r="X312">
        <v>4141</v>
      </c>
      <c r="Y312">
        <v>17577</v>
      </c>
      <c r="Z312">
        <v>0</v>
      </c>
      <c r="AA312" t="s">
        <v>204</v>
      </c>
      <c r="AB312">
        <v>17577</v>
      </c>
      <c r="AC312">
        <v>10897.74</v>
      </c>
      <c r="AE312">
        <v>7550</v>
      </c>
      <c r="AF312">
        <v>300</v>
      </c>
      <c r="AU312">
        <v>46249</v>
      </c>
      <c r="AV312">
        <v>46253</v>
      </c>
      <c r="AW312" t="s">
        <v>204</v>
      </c>
      <c r="AX312">
        <v>0</v>
      </c>
      <c r="AY312">
        <v>0</v>
      </c>
      <c r="AZ312" t="s">
        <v>313</v>
      </c>
      <c r="BD312">
        <v>2</v>
      </c>
      <c r="BE312">
        <v>6</v>
      </c>
      <c r="BF312" t="s">
        <v>314</v>
      </c>
      <c r="BG312" t="s">
        <v>153</v>
      </c>
      <c r="BH312">
        <v>13779.9</v>
      </c>
      <c r="BI312">
        <v>46262</v>
      </c>
      <c r="BJ312">
        <v>15</v>
      </c>
      <c r="BK312">
        <v>0</v>
      </c>
      <c r="BN312">
        <v>13779.9</v>
      </c>
      <c r="BO312">
        <v>3797.1000000000004</v>
      </c>
      <c r="BP312" t="str">
        <f t="shared" si="4"/>
        <v>HAEMBB</v>
      </c>
    </row>
    <row r="313" spans="1:68" x14ac:dyDescent="0.25">
      <c r="A313" t="s">
        <v>1563</v>
      </c>
      <c r="B313" t="s">
        <v>1564</v>
      </c>
      <c r="C313" t="s">
        <v>1565</v>
      </c>
      <c r="D313">
        <v>22236.760000000002</v>
      </c>
      <c r="E313">
        <v>27118</v>
      </c>
      <c r="F313">
        <v>2608</v>
      </c>
      <c r="G313" t="s">
        <v>159</v>
      </c>
      <c r="H313" t="s">
        <v>1481</v>
      </c>
      <c r="I313" t="s">
        <v>1566</v>
      </c>
      <c r="J313" t="s">
        <v>306</v>
      </c>
      <c r="K313" t="s">
        <v>307</v>
      </c>
      <c r="L313">
        <v>46260</v>
      </c>
      <c r="M313">
        <v>46261</v>
      </c>
      <c r="N313">
        <v>46261</v>
      </c>
      <c r="O313" t="s">
        <v>318</v>
      </c>
      <c r="P313" t="s">
        <v>204</v>
      </c>
      <c r="Q313" t="s">
        <v>309</v>
      </c>
      <c r="R313" t="s">
        <v>310</v>
      </c>
      <c r="S313" t="s">
        <v>209</v>
      </c>
      <c r="T313" t="s">
        <v>1032</v>
      </c>
      <c r="U313">
        <v>779</v>
      </c>
      <c r="V313">
        <v>19803</v>
      </c>
      <c r="W313">
        <v>0</v>
      </c>
      <c r="X313">
        <v>6536</v>
      </c>
      <c r="Y313">
        <v>27118</v>
      </c>
      <c r="Z313">
        <v>0</v>
      </c>
      <c r="AA313" t="s">
        <v>204</v>
      </c>
      <c r="AB313">
        <v>27118</v>
      </c>
      <c r="AC313">
        <v>16813.16</v>
      </c>
      <c r="AU313">
        <v>46262</v>
      </c>
      <c r="AV313">
        <v>46264</v>
      </c>
      <c r="AW313" t="s">
        <v>204</v>
      </c>
      <c r="AX313">
        <v>0</v>
      </c>
      <c r="AY313">
        <v>0</v>
      </c>
      <c r="AZ313" t="s">
        <v>313</v>
      </c>
      <c r="BD313">
        <v>1</v>
      </c>
      <c r="BE313">
        <v>3</v>
      </c>
      <c r="BF313" t="s">
        <v>314</v>
      </c>
      <c r="BG313" t="s">
        <v>153</v>
      </c>
      <c r="BH313">
        <v>21177.1</v>
      </c>
      <c r="BI313">
        <v>46269</v>
      </c>
      <c r="BJ313">
        <v>8</v>
      </c>
      <c r="BK313">
        <v>0</v>
      </c>
      <c r="BN313">
        <v>21177.1</v>
      </c>
      <c r="BO313">
        <v>5940.9000000000015</v>
      </c>
      <c r="BP313" t="str">
        <f t="shared" si="4"/>
        <v>HAEMBB</v>
      </c>
    </row>
    <row r="314" spans="1:68" x14ac:dyDescent="0.25">
      <c r="A314" t="s">
        <v>1567</v>
      </c>
      <c r="B314" t="s">
        <v>1568</v>
      </c>
      <c r="C314" t="s">
        <v>207</v>
      </c>
      <c r="D314">
        <v>4925.74</v>
      </c>
      <c r="E314">
        <v>6007</v>
      </c>
      <c r="F314">
        <v>2608</v>
      </c>
      <c r="G314" t="s">
        <v>159</v>
      </c>
      <c r="H314" t="s">
        <v>1481</v>
      </c>
      <c r="I314" t="s">
        <v>1569</v>
      </c>
      <c r="J314" t="s">
        <v>306</v>
      </c>
      <c r="K314" t="s">
        <v>307</v>
      </c>
      <c r="L314">
        <v>28.8</v>
      </c>
      <c r="M314">
        <v>46263</v>
      </c>
      <c r="N314">
        <v>46263</v>
      </c>
      <c r="O314" t="s">
        <v>318</v>
      </c>
      <c r="P314" t="s">
        <v>204</v>
      </c>
      <c r="Q314" t="s">
        <v>309</v>
      </c>
      <c r="R314" t="s">
        <v>310</v>
      </c>
      <c r="S314" t="s">
        <v>209</v>
      </c>
      <c r="T314" t="s">
        <v>1032</v>
      </c>
      <c r="U314">
        <v>779</v>
      </c>
      <c r="V314">
        <v>5228</v>
      </c>
      <c r="W314">
        <v>0</v>
      </c>
      <c r="X314">
        <v>0</v>
      </c>
      <c r="Y314">
        <v>6007</v>
      </c>
      <c r="Z314">
        <v>0</v>
      </c>
      <c r="AA314" t="s">
        <v>204</v>
      </c>
      <c r="AB314">
        <v>6007</v>
      </c>
      <c r="AC314">
        <v>3724.34</v>
      </c>
      <c r="AU314">
        <v>46266</v>
      </c>
      <c r="AV314">
        <v>46266</v>
      </c>
      <c r="AW314" t="s">
        <v>204</v>
      </c>
      <c r="AX314">
        <v>0</v>
      </c>
      <c r="AY314">
        <v>0</v>
      </c>
      <c r="AZ314" t="s">
        <v>313</v>
      </c>
      <c r="BD314">
        <v>3</v>
      </c>
      <c r="BE314">
        <v>3</v>
      </c>
      <c r="BF314" t="s">
        <v>314</v>
      </c>
      <c r="BG314" t="s">
        <v>153</v>
      </c>
      <c r="BH314">
        <v>0</v>
      </c>
      <c r="BK314">
        <v>0</v>
      </c>
      <c r="BN314">
        <v>0</v>
      </c>
      <c r="BO314">
        <v>6007</v>
      </c>
      <c r="BP314" t="str">
        <f t="shared" si="4"/>
        <v>HAEMBB</v>
      </c>
    </row>
    <row r="315" spans="1:68" x14ac:dyDescent="0.25">
      <c r="A315" t="s">
        <v>1570</v>
      </c>
      <c r="B315" t="s">
        <v>1571</v>
      </c>
      <c r="C315" t="s">
        <v>1572</v>
      </c>
      <c r="D315">
        <v>12943.7</v>
      </c>
      <c r="E315">
        <v>15785</v>
      </c>
      <c r="F315">
        <v>2608</v>
      </c>
      <c r="G315" t="s">
        <v>159</v>
      </c>
      <c r="H315" t="s">
        <v>1349</v>
      </c>
      <c r="I315" t="s">
        <v>1573</v>
      </c>
      <c r="J315" t="s">
        <v>306</v>
      </c>
      <c r="K315" t="s">
        <v>307</v>
      </c>
      <c r="L315">
        <v>46246</v>
      </c>
      <c r="M315">
        <v>46246</v>
      </c>
      <c r="N315">
        <v>46246</v>
      </c>
      <c r="O315" t="s">
        <v>911</v>
      </c>
      <c r="P315" t="s">
        <v>912</v>
      </c>
      <c r="Q315" t="s">
        <v>328</v>
      </c>
      <c r="R315" t="s">
        <v>310</v>
      </c>
      <c r="S315" t="s">
        <v>206</v>
      </c>
      <c r="T315" t="s">
        <v>1259</v>
      </c>
      <c r="U315">
        <v>779</v>
      </c>
      <c r="V315">
        <v>10865</v>
      </c>
      <c r="W315">
        <v>0</v>
      </c>
      <c r="X315">
        <v>4141</v>
      </c>
      <c r="Y315">
        <v>15785</v>
      </c>
      <c r="Z315">
        <v>0</v>
      </c>
      <c r="AA315" t="s">
        <v>204</v>
      </c>
      <c r="AB315">
        <v>15785</v>
      </c>
      <c r="AC315">
        <v>9786.7000000000007</v>
      </c>
      <c r="AE315">
        <v>6800</v>
      </c>
      <c r="AF315">
        <v>300</v>
      </c>
      <c r="AU315">
        <v>46248</v>
      </c>
      <c r="AV315">
        <v>46250</v>
      </c>
      <c r="AW315" t="s">
        <v>204</v>
      </c>
      <c r="AX315">
        <v>0</v>
      </c>
      <c r="AY315">
        <v>0</v>
      </c>
      <c r="AZ315" t="s">
        <v>313</v>
      </c>
      <c r="BD315">
        <v>2</v>
      </c>
      <c r="BE315">
        <v>4</v>
      </c>
      <c r="BF315" t="s">
        <v>314</v>
      </c>
      <c r="BG315" t="s">
        <v>153</v>
      </c>
      <c r="BH315">
        <v>12525.5</v>
      </c>
      <c r="BI315">
        <v>46262</v>
      </c>
      <c r="BJ315">
        <v>16</v>
      </c>
      <c r="BK315">
        <v>3259.5</v>
      </c>
      <c r="BL315">
        <v>46269</v>
      </c>
      <c r="BM315">
        <v>23</v>
      </c>
      <c r="BN315">
        <v>15785</v>
      </c>
      <c r="BO315">
        <v>0</v>
      </c>
      <c r="BP315" t="str">
        <f t="shared" si="4"/>
        <v>HAEMBB</v>
      </c>
    </row>
    <row r="316" spans="1:68" x14ac:dyDescent="0.25">
      <c r="A316" t="s">
        <v>1574</v>
      </c>
      <c r="B316" t="s">
        <v>1575</v>
      </c>
      <c r="C316" t="s">
        <v>1576</v>
      </c>
      <c r="D316">
        <v>17324.96</v>
      </c>
      <c r="E316">
        <v>21128</v>
      </c>
      <c r="F316">
        <v>2608</v>
      </c>
      <c r="G316" t="s">
        <v>159</v>
      </c>
      <c r="H316" t="s">
        <v>1349</v>
      </c>
      <c r="I316" t="s">
        <v>1577</v>
      </c>
      <c r="J316" t="s">
        <v>306</v>
      </c>
      <c r="K316" t="s">
        <v>307</v>
      </c>
      <c r="L316">
        <v>46251</v>
      </c>
      <c r="M316">
        <v>46251</v>
      </c>
      <c r="N316">
        <v>46251</v>
      </c>
      <c r="O316" t="s">
        <v>326</v>
      </c>
      <c r="P316" t="s">
        <v>327</v>
      </c>
      <c r="Q316" t="s">
        <v>328</v>
      </c>
      <c r="R316" t="s">
        <v>310</v>
      </c>
      <c r="S316" t="s">
        <v>206</v>
      </c>
      <c r="T316" t="s">
        <v>1241</v>
      </c>
      <c r="U316">
        <v>779</v>
      </c>
      <c r="V316">
        <v>16208</v>
      </c>
      <c r="W316">
        <v>0</v>
      </c>
      <c r="X316">
        <v>4141</v>
      </c>
      <c r="Y316">
        <v>21128</v>
      </c>
      <c r="Z316">
        <v>0</v>
      </c>
      <c r="AA316" t="s">
        <v>204</v>
      </c>
      <c r="AB316">
        <v>21128</v>
      </c>
      <c r="AC316">
        <v>13099.36</v>
      </c>
      <c r="AE316">
        <v>0</v>
      </c>
      <c r="AU316">
        <v>46252</v>
      </c>
      <c r="AV316">
        <v>46261</v>
      </c>
      <c r="AW316" t="s">
        <v>204</v>
      </c>
      <c r="AX316">
        <v>0</v>
      </c>
      <c r="AY316">
        <v>0</v>
      </c>
      <c r="AZ316" t="s">
        <v>313</v>
      </c>
      <c r="BD316">
        <v>1</v>
      </c>
      <c r="BE316">
        <v>10</v>
      </c>
      <c r="BF316" t="s">
        <v>314</v>
      </c>
      <c r="BG316" t="s">
        <v>153</v>
      </c>
      <c r="BH316">
        <v>16265.599999999999</v>
      </c>
      <c r="BI316">
        <v>46262</v>
      </c>
      <c r="BJ316">
        <v>11</v>
      </c>
      <c r="BK316">
        <v>2725.2</v>
      </c>
      <c r="BL316">
        <v>46269</v>
      </c>
      <c r="BM316">
        <v>18</v>
      </c>
      <c r="BN316">
        <v>18990.8</v>
      </c>
      <c r="BO316">
        <v>2137.2000000000007</v>
      </c>
      <c r="BP316" t="str">
        <f t="shared" si="4"/>
        <v>HAEMBB</v>
      </c>
    </row>
    <row r="317" spans="1:68" x14ac:dyDescent="0.25">
      <c r="A317" t="s">
        <v>1578</v>
      </c>
      <c r="B317" t="s">
        <v>1579</v>
      </c>
      <c r="C317" t="s">
        <v>229</v>
      </c>
      <c r="D317">
        <v>20908.36</v>
      </c>
      <c r="E317">
        <v>25498</v>
      </c>
      <c r="F317">
        <v>2608</v>
      </c>
      <c r="G317" t="s">
        <v>159</v>
      </c>
      <c r="H317" t="s">
        <v>1349</v>
      </c>
      <c r="I317" t="s">
        <v>1580</v>
      </c>
      <c r="J317" t="s">
        <v>306</v>
      </c>
      <c r="K317" t="s">
        <v>307</v>
      </c>
      <c r="L317">
        <v>46251</v>
      </c>
      <c r="M317">
        <v>46251</v>
      </c>
      <c r="N317">
        <v>46251</v>
      </c>
      <c r="O317" t="s">
        <v>938</v>
      </c>
      <c r="P317" t="s">
        <v>939</v>
      </c>
      <c r="Q317" t="s">
        <v>328</v>
      </c>
      <c r="R317" t="s">
        <v>310</v>
      </c>
      <c r="S317" t="s">
        <v>209</v>
      </c>
      <c r="T317" t="s">
        <v>1241</v>
      </c>
      <c r="U317">
        <v>779</v>
      </c>
      <c r="V317">
        <v>20578</v>
      </c>
      <c r="W317">
        <v>0</v>
      </c>
      <c r="X317">
        <v>4141</v>
      </c>
      <c r="Y317">
        <v>25498</v>
      </c>
      <c r="Z317">
        <v>0</v>
      </c>
      <c r="AA317" t="s">
        <v>204</v>
      </c>
      <c r="AB317">
        <v>25498</v>
      </c>
      <c r="AC317">
        <v>15808.76</v>
      </c>
      <c r="AE317">
        <v>0</v>
      </c>
      <c r="AU317">
        <v>46253</v>
      </c>
      <c r="AV317">
        <v>46258</v>
      </c>
      <c r="AW317" t="s">
        <v>204</v>
      </c>
      <c r="AX317">
        <v>0</v>
      </c>
      <c r="AY317">
        <v>0</v>
      </c>
      <c r="AZ317" t="s">
        <v>313</v>
      </c>
      <c r="BD317">
        <v>2</v>
      </c>
      <c r="BE317">
        <v>7</v>
      </c>
      <c r="BF317" t="s">
        <v>314</v>
      </c>
      <c r="BG317" t="s">
        <v>153</v>
      </c>
      <c r="BH317">
        <v>779</v>
      </c>
      <c r="BI317">
        <v>46269</v>
      </c>
      <c r="BJ317">
        <v>18</v>
      </c>
      <c r="BK317">
        <v>0</v>
      </c>
      <c r="BN317">
        <v>779</v>
      </c>
      <c r="BO317">
        <v>24719</v>
      </c>
      <c r="BP317" t="str">
        <f t="shared" si="4"/>
        <v>HAEMBB</v>
      </c>
    </row>
    <row r="318" spans="1:68" x14ac:dyDescent="0.25">
      <c r="A318" t="s">
        <v>1581</v>
      </c>
      <c r="B318" t="s">
        <v>1582</v>
      </c>
      <c r="C318" t="s">
        <v>230</v>
      </c>
      <c r="D318">
        <v>18740.280000000002</v>
      </c>
      <c r="E318">
        <v>22854</v>
      </c>
      <c r="F318">
        <v>2608</v>
      </c>
      <c r="G318" t="s">
        <v>159</v>
      </c>
      <c r="H318" t="s">
        <v>1349</v>
      </c>
      <c r="I318" t="s">
        <v>1583</v>
      </c>
      <c r="J318" t="s">
        <v>306</v>
      </c>
      <c r="K318" t="s">
        <v>307</v>
      </c>
      <c r="L318">
        <v>46253</v>
      </c>
      <c r="M318">
        <v>46253</v>
      </c>
      <c r="N318">
        <v>46253</v>
      </c>
      <c r="O318" t="s">
        <v>326</v>
      </c>
      <c r="P318" t="s">
        <v>327</v>
      </c>
      <c r="Q318" t="s">
        <v>328</v>
      </c>
      <c r="R318" t="s">
        <v>310</v>
      </c>
      <c r="S318" t="s">
        <v>209</v>
      </c>
      <c r="T318" t="s">
        <v>1241</v>
      </c>
      <c r="U318">
        <v>779</v>
      </c>
      <c r="V318">
        <v>17934</v>
      </c>
      <c r="W318">
        <v>0</v>
      </c>
      <c r="X318">
        <v>4141</v>
      </c>
      <c r="Y318">
        <v>22854</v>
      </c>
      <c r="Z318">
        <v>2826</v>
      </c>
      <c r="AA318">
        <v>46254</v>
      </c>
      <c r="AB318">
        <v>25680</v>
      </c>
      <c r="AC318">
        <v>14169.48</v>
      </c>
      <c r="AE318">
        <v>0</v>
      </c>
      <c r="AU318">
        <v>46257</v>
      </c>
      <c r="AV318">
        <v>46260</v>
      </c>
      <c r="AW318" t="s">
        <v>204</v>
      </c>
      <c r="AX318">
        <v>0</v>
      </c>
      <c r="AY318">
        <v>0</v>
      </c>
      <c r="AZ318" t="s">
        <v>313</v>
      </c>
      <c r="BD318">
        <v>4</v>
      </c>
      <c r="BE318">
        <v>7</v>
      </c>
      <c r="BF318" t="s">
        <v>314</v>
      </c>
      <c r="BG318" t="s">
        <v>153</v>
      </c>
      <c r="BH318">
        <v>17473.799999999996</v>
      </c>
      <c r="BI318">
        <v>46269</v>
      </c>
      <c r="BJ318">
        <v>16</v>
      </c>
      <c r="BK318">
        <v>0</v>
      </c>
      <c r="BN318">
        <v>17473.799999999996</v>
      </c>
      <c r="BO318">
        <v>8206.2000000000044</v>
      </c>
      <c r="BP318" t="str">
        <f t="shared" si="4"/>
        <v>HAEMBB</v>
      </c>
    </row>
    <row r="319" spans="1:68" x14ac:dyDescent="0.25">
      <c r="A319" t="s">
        <v>1584</v>
      </c>
      <c r="B319" t="s">
        <v>1585</v>
      </c>
      <c r="C319" t="s">
        <v>231</v>
      </c>
      <c r="D319">
        <v>19628.34</v>
      </c>
      <c r="E319">
        <v>23937</v>
      </c>
      <c r="F319">
        <v>2608</v>
      </c>
      <c r="G319" t="s">
        <v>159</v>
      </c>
      <c r="H319" t="s">
        <v>368</v>
      </c>
      <c r="I319" t="s">
        <v>1586</v>
      </c>
      <c r="J319" t="s">
        <v>306</v>
      </c>
      <c r="K319" t="s">
        <v>307</v>
      </c>
      <c r="L319">
        <v>46248</v>
      </c>
      <c r="M319">
        <v>46250</v>
      </c>
      <c r="N319">
        <v>46250</v>
      </c>
      <c r="O319" t="s">
        <v>326</v>
      </c>
      <c r="P319" t="s">
        <v>327</v>
      </c>
      <c r="Q319" t="s">
        <v>328</v>
      </c>
      <c r="R319" t="s">
        <v>310</v>
      </c>
      <c r="S319" t="s">
        <v>209</v>
      </c>
      <c r="T319" t="s">
        <v>1259</v>
      </c>
      <c r="U319">
        <v>779</v>
      </c>
      <c r="V319">
        <v>21605</v>
      </c>
      <c r="W319">
        <v>0</v>
      </c>
      <c r="X319">
        <v>1553</v>
      </c>
      <c r="Y319">
        <v>23937</v>
      </c>
      <c r="Z319">
        <v>0</v>
      </c>
      <c r="AA319" t="s">
        <v>204</v>
      </c>
      <c r="AB319">
        <v>23937</v>
      </c>
      <c r="AC319">
        <v>14840.94</v>
      </c>
      <c r="AE319">
        <v>11860</v>
      </c>
      <c r="AF319">
        <v>300</v>
      </c>
      <c r="AU319">
        <v>46253</v>
      </c>
      <c r="AV319">
        <v>46255</v>
      </c>
      <c r="AW319" t="s">
        <v>204</v>
      </c>
      <c r="AX319">
        <v>0</v>
      </c>
      <c r="AY319">
        <v>0</v>
      </c>
      <c r="AZ319" t="s">
        <v>313</v>
      </c>
      <c r="BD319">
        <v>3</v>
      </c>
      <c r="BE319">
        <v>5</v>
      </c>
      <c r="BF319" t="s">
        <v>314</v>
      </c>
      <c r="BG319" t="s">
        <v>153</v>
      </c>
      <c r="BH319">
        <v>17455.5</v>
      </c>
      <c r="BI319">
        <v>46262</v>
      </c>
      <c r="BJ319">
        <v>12</v>
      </c>
      <c r="BK319">
        <v>0</v>
      </c>
      <c r="BN319">
        <v>17455.5</v>
      </c>
      <c r="BO319">
        <v>6481.5</v>
      </c>
      <c r="BP319" t="str">
        <f t="shared" si="4"/>
        <v>HAEMBB</v>
      </c>
    </row>
    <row r="320" spans="1:68" x14ac:dyDescent="0.25">
      <c r="A320" t="s">
        <v>1587</v>
      </c>
      <c r="B320" t="s">
        <v>1588</v>
      </c>
      <c r="C320" t="s">
        <v>1589</v>
      </c>
      <c r="D320">
        <v>17744.8</v>
      </c>
      <c r="E320">
        <v>21640</v>
      </c>
      <c r="F320">
        <v>2608</v>
      </c>
      <c r="G320" t="s">
        <v>159</v>
      </c>
      <c r="H320" t="s">
        <v>368</v>
      </c>
      <c r="I320" t="s">
        <v>1590</v>
      </c>
      <c r="J320" t="s">
        <v>306</v>
      </c>
      <c r="K320" t="s">
        <v>307</v>
      </c>
      <c r="N320">
        <v>0</v>
      </c>
      <c r="T320">
        <v>0</v>
      </c>
      <c r="U320">
        <v>779</v>
      </c>
      <c r="V320">
        <v>19308</v>
      </c>
      <c r="W320">
        <v>0</v>
      </c>
      <c r="X320">
        <v>1553</v>
      </c>
      <c r="Y320">
        <v>21640</v>
      </c>
      <c r="Z320">
        <v>0</v>
      </c>
      <c r="AB320">
        <v>21640</v>
      </c>
      <c r="AC320">
        <v>13416.8</v>
      </c>
      <c r="AW320" t="s">
        <v>204</v>
      </c>
      <c r="AX320">
        <v>0</v>
      </c>
      <c r="AY320">
        <v>0</v>
      </c>
      <c r="AZ320" t="s">
        <v>313</v>
      </c>
      <c r="BD320">
        <v>0</v>
      </c>
      <c r="BE320">
        <v>0</v>
      </c>
      <c r="BF320" t="s">
        <v>1057</v>
      </c>
      <c r="BG320" t="s">
        <v>153</v>
      </c>
      <c r="BH320">
        <v>0</v>
      </c>
      <c r="BJ320">
        <v>0</v>
      </c>
      <c r="BK320">
        <v>0</v>
      </c>
      <c r="BM320">
        <v>0</v>
      </c>
      <c r="BN320">
        <v>0</v>
      </c>
      <c r="BO320">
        <v>21640</v>
      </c>
      <c r="BP320" t="str">
        <f t="shared" si="4"/>
        <v>HAEMBB</v>
      </c>
    </row>
    <row r="321" spans="1:68" x14ac:dyDescent="0.25">
      <c r="A321" t="s">
        <v>1591</v>
      </c>
      <c r="B321" t="s">
        <v>1592</v>
      </c>
      <c r="C321" t="s">
        <v>1593</v>
      </c>
      <c r="D321">
        <v>26372.84</v>
      </c>
      <c r="E321">
        <v>32162</v>
      </c>
      <c r="F321">
        <v>2608</v>
      </c>
      <c r="G321" t="s">
        <v>152</v>
      </c>
      <c r="H321" t="s">
        <v>1178</v>
      </c>
      <c r="I321" t="s">
        <v>1594</v>
      </c>
      <c r="J321" t="s">
        <v>306</v>
      </c>
      <c r="K321" t="s">
        <v>307</v>
      </c>
      <c r="L321">
        <v>46256</v>
      </c>
      <c r="M321">
        <v>46261</v>
      </c>
      <c r="N321">
        <v>46261</v>
      </c>
      <c r="O321" t="s">
        <v>487</v>
      </c>
      <c r="P321" t="s">
        <v>204</v>
      </c>
      <c r="Q321" t="s">
        <v>309</v>
      </c>
      <c r="R321" t="s">
        <v>903</v>
      </c>
      <c r="S321" t="s">
        <v>1180</v>
      </c>
      <c r="T321" t="s">
        <v>1032</v>
      </c>
      <c r="U321">
        <v>0</v>
      </c>
      <c r="V321">
        <v>27433</v>
      </c>
      <c r="W321">
        <v>0</v>
      </c>
      <c r="X321">
        <v>4729</v>
      </c>
      <c r="Y321">
        <v>32162</v>
      </c>
      <c r="Z321">
        <v>0</v>
      </c>
      <c r="AB321">
        <v>32162</v>
      </c>
      <c r="AC321">
        <v>19940.439999999999</v>
      </c>
      <c r="AU321">
        <v>46262</v>
      </c>
      <c r="AV321">
        <v>46263</v>
      </c>
      <c r="AW321" t="s">
        <v>204</v>
      </c>
      <c r="AX321">
        <v>0</v>
      </c>
      <c r="AY321">
        <v>0</v>
      </c>
      <c r="AZ321" t="s">
        <v>313</v>
      </c>
      <c r="BD321">
        <v>1</v>
      </c>
      <c r="BE321">
        <v>2</v>
      </c>
      <c r="BF321" t="s">
        <v>314</v>
      </c>
      <c r="BG321" t="s">
        <v>153</v>
      </c>
      <c r="BH321">
        <v>0</v>
      </c>
      <c r="BK321">
        <v>0</v>
      </c>
      <c r="BN321">
        <v>0</v>
      </c>
      <c r="BO321">
        <v>32162</v>
      </c>
      <c r="BP321" t="str">
        <f t="shared" si="4"/>
        <v>TMEMBB</v>
      </c>
    </row>
    <row r="322" spans="1:68" x14ac:dyDescent="0.25">
      <c r="B322" t="s">
        <v>1595</v>
      </c>
      <c r="C322" t="s">
        <v>1596</v>
      </c>
      <c r="D322">
        <v>23442.16</v>
      </c>
      <c r="E322">
        <v>28588</v>
      </c>
      <c r="F322">
        <v>2609</v>
      </c>
      <c r="G322" t="s">
        <v>159</v>
      </c>
      <c r="H322" t="s">
        <v>1349</v>
      </c>
      <c r="I322" t="s">
        <v>1597</v>
      </c>
      <c r="J322" t="s">
        <v>306</v>
      </c>
      <c r="K322" t="s">
        <v>307</v>
      </c>
      <c r="N322">
        <v>0</v>
      </c>
      <c r="T322">
        <v>0</v>
      </c>
      <c r="U322">
        <v>779</v>
      </c>
      <c r="V322">
        <v>26256</v>
      </c>
      <c r="X322">
        <v>1553</v>
      </c>
      <c r="Y322">
        <v>28588</v>
      </c>
      <c r="Z322">
        <v>0</v>
      </c>
      <c r="AB322">
        <v>28588</v>
      </c>
      <c r="AC322">
        <v>17724.560000000001</v>
      </c>
      <c r="AW322" t="s">
        <v>204</v>
      </c>
      <c r="AX322">
        <v>0</v>
      </c>
      <c r="AY322">
        <v>0</v>
      </c>
      <c r="AZ322" t="s">
        <v>313</v>
      </c>
      <c r="BD322">
        <v>0</v>
      </c>
      <c r="BE322">
        <v>0</v>
      </c>
      <c r="BF322" t="s">
        <v>1057</v>
      </c>
      <c r="BG322" t="s">
        <v>153</v>
      </c>
      <c r="BH322">
        <v>0</v>
      </c>
      <c r="BJ322">
        <v>0</v>
      </c>
      <c r="BK322">
        <v>0</v>
      </c>
      <c r="BM322">
        <v>0</v>
      </c>
      <c r="BN322">
        <v>0</v>
      </c>
      <c r="BO322">
        <v>28588</v>
      </c>
      <c r="BP322" t="str">
        <f t="shared" si="4"/>
        <v>HAEMBB</v>
      </c>
    </row>
    <row r="323" spans="1:68" x14ac:dyDescent="0.25">
      <c r="A323" t="s">
        <v>1598</v>
      </c>
      <c r="B323" t="s">
        <v>1599</v>
      </c>
      <c r="C323" t="s">
        <v>1600</v>
      </c>
      <c r="D323">
        <v>17771.04</v>
      </c>
      <c r="E323">
        <v>21672</v>
      </c>
      <c r="F323">
        <v>2608</v>
      </c>
      <c r="G323" t="s">
        <v>159</v>
      </c>
      <c r="H323" t="s">
        <v>1349</v>
      </c>
      <c r="I323" t="s">
        <v>1601</v>
      </c>
      <c r="J323" t="s">
        <v>306</v>
      </c>
      <c r="K323" t="s">
        <v>307</v>
      </c>
      <c r="N323">
        <v>0</v>
      </c>
      <c r="T323">
        <v>0</v>
      </c>
      <c r="U323">
        <v>1351</v>
      </c>
      <c r="V323">
        <v>13785</v>
      </c>
      <c r="W323">
        <v>0</v>
      </c>
      <c r="X323">
        <v>6536</v>
      </c>
      <c r="Y323">
        <v>21672</v>
      </c>
      <c r="Z323">
        <v>0</v>
      </c>
      <c r="AB323">
        <v>21672</v>
      </c>
      <c r="AC323">
        <v>13436.64</v>
      </c>
      <c r="AW323" t="s">
        <v>204</v>
      </c>
      <c r="AX323">
        <v>0</v>
      </c>
      <c r="AY323">
        <v>0</v>
      </c>
      <c r="AZ323" t="s">
        <v>313</v>
      </c>
      <c r="BD323">
        <v>0</v>
      </c>
      <c r="BE323">
        <v>0</v>
      </c>
      <c r="BF323" t="s">
        <v>1057</v>
      </c>
      <c r="BG323" t="s">
        <v>153</v>
      </c>
      <c r="BH323">
        <v>0</v>
      </c>
      <c r="BJ323">
        <v>0</v>
      </c>
      <c r="BK323">
        <v>0</v>
      </c>
      <c r="BM323">
        <v>0</v>
      </c>
      <c r="BN323">
        <v>0</v>
      </c>
      <c r="BO323">
        <v>21672</v>
      </c>
      <c r="BP323" t="str">
        <f t="shared" si="4"/>
        <v>HAEMBB</v>
      </c>
    </row>
    <row r="324" spans="1:68" x14ac:dyDescent="0.25">
      <c r="A324" t="s">
        <v>1602</v>
      </c>
      <c r="B324" t="s">
        <v>1603</v>
      </c>
      <c r="C324" t="s">
        <v>1604</v>
      </c>
      <c r="D324">
        <v>16377.039999999999</v>
      </c>
      <c r="E324">
        <v>19972</v>
      </c>
      <c r="F324">
        <v>2608</v>
      </c>
      <c r="G324" t="s">
        <v>159</v>
      </c>
      <c r="H324" t="s">
        <v>1349</v>
      </c>
      <c r="I324" t="s">
        <v>1605</v>
      </c>
      <c r="J324" t="s">
        <v>306</v>
      </c>
      <c r="K324" t="s">
        <v>307</v>
      </c>
      <c r="N324">
        <v>0</v>
      </c>
      <c r="T324">
        <v>0</v>
      </c>
      <c r="U324">
        <v>779</v>
      </c>
      <c r="V324">
        <v>12657</v>
      </c>
      <c r="W324">
        <v>0</v>
      </c>
      <c r="X324">
        <v>6536</v>
      </c>
      <c r="Y324">
        <v>19972</v>
      </c>
      <c r="Z324">
        <v>0</v>
      </c>
      <c r="AB324">
        <v>19972</v>
      </c>
      <c r="AC324">
        <v>12382.64</v>
      </c>
      <c r="AW324" t="s">
        <v>204</v>
      </c>
      <c r="AX324">
        <v>0</v>
      </c>
      <c r="AY324">
        <v>0</v>
      </c>
      <c r="AZ324" t="s">
        <v>313</v>
      </c>
      <c r="BD324">
        <v>0</v>
      </c>
      <c r="BE324">
        <v>0</v>
      </c>
      <c r="BF324" t="s">
        <v>1057</v>
      </c>
      <c r="BG324" t="s">
        <v>153</v>
      </c>
      <c r="BH324">
        <v>0</v>
      </c>
      <c r="BJ324">
        <v>0</v>
      </c>
      <c r="BK324">
        <v>0</v>
      </c>
      <c r="BM324">
        <v>0</v>
      </c>
      <c r="BN324">
        <v>0</v>
      </c>
      <c r="BO324">
        <v>19972</v>
      </c>
      <c r="BP324" t="str">
        <f t="shared" ref="BP324:BP387" si="5">G324&amp;BG324</f>
        <v>HAEMBB</v>
      </c>
    </row>
    <row r="325" spans="1:68" x14ac:dyDescent="0.25">
      <c r="A325" t="s">
        <v>1644</v>
      </c>
      <c r="B325" t="s">
        <v>1606</v>
      </c>
      <c r="C325" t="s">
        <v>1607</v>
      </c>
      <c r="D325">
        <v>4187.74</v>
      </c>
      <c r="E325">
        <v>5107</v>
      </c>
      <c r="F325">
        <v>2609</v>
      </c>
      <c r="G325" t="s">
        <v>152</v>
      </c>
      <c r="H325" t="s">
        <v>1184</v>
      </c>
      <c r="I325" t="s">
        <v>1608</v>
      </c>
      <c r="J325" t="s">
        <v>306</v>
      </c>
      <c r="K325" t="s">
        <v>307</v>
      </c>
      <c r="N325">
        <v>0</v>
      </c>
      <c r="T325">
        <v>0</v>
      </c>
      <c r="V325">
        <v>5107</v>
      </c>
      <c r="Y325">
        <v>5107</v>
      </c>
      <c r="Z325">
        <v>0</v>
      </c>
      <c r="AB325">
        <v>5107</v>
      </c>
      <c r="AC325">
        <v>3166.34</v>
      </c>
      <c r="AX325">
        <v>0</v>
      </c>
      <c r="AY325">
        <v>0</v>
      </c>
      <c r="AZ325" t="s">
        <v>313</v>
      </c>
      <c r="BD325">
        <v>0</v>
      </c>
      <c r="BE325">
        <v>0</v>
      </c>
      <c r="BF325" t="s">
        <v>1057</v>
      </c>
      <c r="BG325" t="s">
        <v>157</v>
      </c>
      <c r="BH325">
        <v>0</v>
      </c>
      <c r="BJ325">
        <v>0</v>
      </c>
      <c r="BK325">
        <v>0</v>
      </c>
      <c r="BM325">
        <v>0</v>
      </c>
      <c r="BN325">
        <v>0</v>
      </c>
      <c r="BO325">
        <v>5107</v>
      </c>
      <c r="BP325" t="str">
        <f t="shared" si="5"/>
        <v>TMEBATERRY</v>
      </c>
    </row>
    <row r="326" spans="1:68" x14ac:dyDescent="0.25">
      <c r="A326" t="s">
        <v>1645</v>
      </c>
      <c r="B326" t="s">
        <v>1609</v>
      </c>
      <c r="C326" t="s">
        <v>1610</v>
      </c>
      <c r="D326">
        <v>16439.36</v>
      </c>
      <c r="E326">
        <v>20048</v>
      </c>
      <c r="F326">
        <v>2609</v>
      </c>
      <c r="G326" t="s">
        <v>152</v>
      </c>
      <c r="H326" t="s">
        <v>1178</v>
      </c>
      <c r="I326" t="s">
        <v>1608</v>
      </c>
      <c r="J326" t="s">
        <v>306</v>
      </c>
      <c r="K326" t="s">
        <v>307</v>
      </c>
      <c r="N326">
        <v>0</v>
      </c>
      <c r="T326">
        <v>0</v>
      </c>
      <c r="V326">
        <v>15319</v>
      </c>
      <c r="X326">
        <v>4729</v>
      </c>
      <c r="Y326">
        <v>20048</v>
      </c>
      <c r="Z326">
        <v>0</v>
      </c>
      <c r="AB326">
        <v>20048</v>
      </c>
      <c r="AC326">
        <v>12429.76</v>
      </c>
      <c r="AX326">
        <v>0</v>
      </c>
      <c r="AY326">
        <v>0</v>
      </c>
      <c r="AZ326" t="s">
        <v>313</v>
      </c>
      <c r="BD326">
        <v>0</v>
      </c>
      <c r="BE326">
        <v>0</v>
      </c>
      <c r="BF326" t="s">
        <v>1057</v>
      </c>
      <c r="BG326" t="s">
        <v>153</v>
      </c>
      <c r="BH326">
        <v>0</v>
      </c>
      <c r="BJ326">
        <v>0</v>
      </c>
      <c r="BK326">
        <v>0</v>
      </c>
      <c r="BM326">
        <v>0</v>
      </c>
      <c r="BN326">
        <v>0</v>
      </c>
      <c r="BO326">
        <v>20048</v>
      </c>
      <c r="BP326" t="str">
        <f t="shared" si="5"/>
        <v>TMEMBB</v>
      </c>
    </row>
    <row r="327" spans="1:68" x14ac:dyDescent="0.25">
      <c r="A327" t="s">
        <v>1646</v>
      </c>
      <c r="B327" t="s">
        <v>1611</v>
      </c>
      <c r="C327" t="s">
        <v>1612</v>
      </c>
      <c r="D327">
        <v>24924.720000000001</v>
      </c>
      <c r="E327">
        <v>30396</v>
      </c>
      <c r="F327">
        <v>2609</v>
      </c>
      <c r="G327" t="s">
        <v>152</v>
      </c>
      <c r="H327" t="s">
        <v>1178</v>
      </c>
      <c r="I327" t="s">
        <v>1613</v>
      </c>
      <c r="J327" t="s">
        <v>306</v>
      </c>
      <c r="K327" t="s">
        <v>307</v>
      </c>
      <c r="L327">
        <v>46269</v>
      </c>
      <c r="M327">
        <v>46270</v>
      </c>
      <c r="N327">
        <v>46270</v>
      </c>
      <c r="O327" t="s">
        <v>487</v>
      </c>
      <c r="P327" t="s">
        <v>204</v>
      </c>
      <c r="Q327" t="s">
        <v>309</v>
      </c>
      <c r="R327" t="s">
        <v>903</v>
      </c>
      <c r="S327" t="s">
        <v>1180</v>
      </c>
      <c r="T327" t="s">
        <v>1408</v>
      </c>
      <c r="V327">
        <v>25667</v>
      </c>
      <c r="X327">
        <v>4729</v>
      </c>
      <c r="Y327">
        <v>30396</v>
      </c>
      <c r="Z327">
        <v>0</v>
      </c>
      <c r="AB327">
        <v>30396</v>
      </c>
      <c r="AC327">
        <v>18845.52</v>
      </c>
      <c r="AX327">
        <v>0</v>
      </c>
      <c r="AY327">
        <v>0</v>
      </c>
      <c r="AZ327" t="s">
        <v>313</v>
      </c>
      <c r="BF327" t="s">
        <v>314</v>
      </c>
      <c r="BG327" t="s">
        <v>153</v>
      </c>
      <c r="BH327">
        <v>0</v>
      </c>
      <c r="BK327">
        <v>0</v>
      </c>
      <c r="BN327">
        <v>0</v>
      </c>
      <c r="BO327">
        <v>30396</v>
      </c>
      <c r="BP327" t="str">
        <f t="shared" si="5"/>
        <v>TMEMBB</v>
      </c>
    </row>
    <row r="328" spans="1:68" x14ac:dyDescent="0.25">
      <c r="BP328" t="str">
        <f t="shared" si="5"/>
        <v/>
      </c>
    </row>
    <row r="329" spans="1:68" x14ac:dyDescent="0.25">
      <c r="BP329" t="str">
        <f t="shared" si="5"/>
        <v/>
      </c>
    </row>
    <row r="330" spans="1:68" x14ac:dyDescent="0.25">
      <c r="BP330" t="str">
        <f t="shared" si="5"/>
        <v/>
      </c>
    </row>
    <row r="331" spans="1:68" x14ac:dyDescent="0.25">
      <c r="BP331" t="str">
        <f t="shared" si="5"/>
        <v/>
      </c>
    </row>
    <row r="332" spans="1:68" x14ac:dyDescent="0.25">
      <c r="BP332" t="str">
        <f t="shared" si="5"/>
        <v/>
      </c>
    </row>
    <row r="333" spans="1:68" x14ac:dyDescent="0.25">
      <c r="BP333" t="str">
        <f t="shared" si="5"/>
        <v/>
      </c>
    </row>
    <row r="334" spans="1:68" x14ac:dyDescent="0.25">
      <c r="BP334" t="str">
        <f t="shared" si="5"/>
        <v/>
      </c>
    </row>
    <row r="335" spans="1:68" x14ac:dyDescent="0.25">
      <c r="BP335" t="str">
        <f t="shared" si="5"/>
        <v/>
      </c>
    </row>
    <row r="336" spans="1:68" x14ac:dyDescent="0.25">
      <c r="BP336" t="str">
        <f t="shared" si="5"/>
        <v/>
      </c>
    </row>
    <row r="337" spans="68:68" x14ac:dyDescent="0.25">
      <c r="BP337" t="str">
        <f t="shared" si="5"/>
        <v/>
      </c>
    </row>
    <row r="338" spans="68:68" x14ac:dyDescent="0.25">
      <c r="BP338" t="str">
        <f t="shared" si="5"/>
        <v/>
      </c>
    </row>
    <row r="339" spans="68:68" x14ac:dyDescent="0.25">
      <c r="BP339" t="str">
        <f t="shared" si="5"/>
        <v/>
      </c>
    </row>
    <row r="340" spans="68:68" x14ac:dyDescent="0.25">
      <c r="BP340" t="str">
        <f t="shared" si="5"/>
        <v/>
      </c>
    </row>
    <row r="341" spans="68:68" x14ac:dyDescent="0.25">
      <c r="BP341" t="str">
        <f t="shared" si="5"/>
        <v/>
      </c>
    </row>
    <row r="342" spans="68:68" x14ac:dyDescent="0.25">
      <c r="BP342" t="str">
        <f t="shared" si="5"/>
        <v/>
      </c>
    </row>
    <row r="343" spans="68:68" x14ac:dyDescent="0.25">
      <c r="BP343" t="str">
        <f t="shared" si="5"/>
        <v/>
      </c>
    </row>
    <row r="344" spans="68:68" x14ac:dyDescent="0.25">
      <c r="BP344" t="str">
        <f t="shared" si="5"/>
        <v/>
      </c>
    </row>
    <row r="345" spans="68:68" x14ac:dyDescent="0.25">
      <c r="BP345" t="str">
        <f t="shared" si="5"/>
        <v/>
      </c>
    </row>
    <row r="346" spans="68:68" x14ac:dyDescent="0.25">
      <c r="BP346" t="str">
        <f t="shared" si="5"/>
        <v/>
      </c>
    </row>
    <row r="347" spans="68:68" x14ac:dyDescent="0.25">
      <c r="BP347" t="str">
        <f t="shared" si="5"/>
        <v/>
      </c>
    </row>
    <row r="348" spans="68:68" x14ac:dyDescent="0.25">
      <c r="BP348" t="str">
        <f t="shared" si="5"/>
        <v/>
      </c>
    </row>
    <row r="349" spans="68:68" x14ac:dyDescent="0.25">
      <c r="BP349" t="str">
        <f t="shared" si="5"/>
        <v/>
      </c>
    </row>
    <row r="350" spans="68:68" x14ac:dyDescent="0.25">
      <c r="BP350" t="str">
        <f t="shared" si="5"/>
        <v/>
      </c>
    </row>
    <row r="351" spans="68:68" x14ac:dyDescent="0.25">
      <c r="BP351" t="str">
        <f t="shared" si="5"/>
        <v/>
      </c>
    </row>
    <row r="352" spans="68:68" x14ac:dyDescent="0.25">
      <c r="BP352" t="str">
        <f t="shared" si="5"/>
        <v/>
      </c>
    </row>
    <row r="353" spans="68:68" x14ac:dyDescent="0.25">
      <c r="BP353" t="str">
        <f t="shared" si="5"/>
        <v/>
      </c>
    </row>
    <row r="354" spans="68:68" x14ac:dyDescent="0.25">
      <c r="BP354" t="str">
        <f t="shared" si="5"/>
        <v/>
      </c>
    </row>
    <row r="355" spans="68:68" x14ac:dyDescent="0.25">
      <c r="BP355" t="str">
        <f t="shared" si="5"/>
        <v/>
      </c>
    </row>
    <row r="356" spans="68:68" x14ac:dyDescent="0.25">
      <c r="BP356" t="str">
        <f t="shared" si="5"/>
        <v/>
      </c>
    </row>
    <row r="357" spans="68:68" x14ac:dyDescent="0.25">
      <c r="BP357" t="str">
        <f t="shared" si="5"/>
        <v/>
      </c>
    </row>
    <row r="358" spans="68:68" x14ac:dyDescent="0.25">
      <c r="BP358" t="str">
        <f t="shared" si="5"/>
        <v/>
      </c>
    </row>
    <row r="359" spans="68:68" x14ac:dyDescent="0.25">
      <c r="BP359" t="str">
        <f t="shared" si="5"/>
        <v/>
      </c>
    </row>
    <row r="360" spans="68:68" x14ac:dyDescent="0.25">
      <c r="BP360" t="str">
        <f t="shared" si="5"/>
        <v/>
      </c>
    </row>
    <row r="361" spans="68:68" x14ac:dyDescent="0.25">
      <c r="BP361" t="str">
        <f t="shared" si="5"/>
        <v/>
      </c>
    </row>
    <row r="362" spans="68:68" x14ac:dyDescent="0.25">
      <c r="BP362" t="str">
        <f t="shared" si="5"/>
        <v/>
      </c>
    </row>
    <row r="363" spans="68:68" x14ac:dyDescent="0.25">
      <c r="BP363" t="str">
        <f t="shared" si="5"/>
        <v/>
      </c>
    </row>
    <row r="364" spans="68:68" x14ac:dyDescent="0.25">
      <c r="BP364" t="str">
        <f t="shared" si="5"/>
        <v/>
      </c>
    </row>
    <row r="365" spans="68:68" x14ac:dyDescent="0.25">
      <c r="BP365" t="str">
        <f t="shared" si="5"/>
        <v/>
      </c>
    </row>
    <row r="366" spans="68:68" x14ac:dyDescent="0.25">
      <c r="BP366" t="str">
        <f t="shared" si="5"/>
        <v/>
      </c>
    </row>
    <row r="367" spans="68:68" x14ac:dyDescent="0.25">
      <c r="BP367" t="str">
        <f t="shared" si="5"/>
        <v/>
      </c>
    </row>
    <row r="368" spans="68:68" x14ac:dyDescent="0.25">
      <c r="BP368" t="str">
        <f t="shared" si="5"/>
        <v/>
      </c>
    </row>
    <row r="369" spans="68:68" x14ac:dyDescent="0.25">
      <c r="BP369" t="str">
        <f t="shared" si="5"/>
        <v/>
      </c>
    </row>
    <row r="370" spans="68:68" x14ac:dyDescent="0.25">
      <c r="BP370" t="str">
        <f t="shared" si="5"/>
        <v/>
      </c>
    </row>
    <row r="371" spans="68:68" x14ac:dyDescent="0.25">
      <c r="BP371" t="str">
        <f t="shared" si="5"/>
        <v/>
      </c>
    </row>
    <row r="372" spans="68:68" x14ac:dyDescent="0.25">
      <c r="BP372" t="str">
        <f t="shared" si="5"/>
        <v/>
      </c>
    </row>
    <row r="373" spans="68:68" x14ac:dyDescent="0.25">
      <c r="BP373" t="str">
        <f t="shared" si="5"/>
        <v/>
      </c>
    </row>
    <row r="374" spans="68:68" x14ac:dyDescent="0.25">
      <c r="BP374" t="str">
        <f t="shared" si="5"/>
        <v/>
      </c>
    </row>
    <row r="375" spans="68:68" x14ac:dyDescent="0.25">
      <c r="BP375" t="str">
        <f t="shared" si="5"/>
        <v/>
      </c>
    </row>
    <row r="376" spans="68:68" x14ac:dyDescent="0.25">
      <c r="BP376" t="str">
        <f t="shared" si="5"/>
        <v/>
      </c>
    </row>
    <row r="377" spans="68:68" x14ac:dyDescent="0.25">
      <c r="BP377" t="str">
        <f t="shared" si="5"/>
        <v/>
      </c>
    </row>
    <row r="378" spans="68:68" x14ac:dyDescent="0.25">
      <c r="BP378" t="str">
        <f t="shared" si="5"/>
        <v/>
      </c>
    </row>
    <row r="379" spans="68:68" x14ac:dyDescent="0.25">
      <c r="BP379" t="str">
        <f t="shared" si="5"/>
        <v/>
      </c>
    </row>
    <row r="380" spans="68:68" x14ac:dyDescent="0.25">
      <c r="BP380" t="str">
        <f t="shared" si="5"/>
        <v/>
      </c>
    </row>
    <row r="381" spans="68:68" x14ac:dyDescent="0.25">
      <c r="BP381" t="str">
        <f t="shared" si="5"/>
        <v/>
      </c>
    </row>
    <row r="382" spans="68:68" x14ac:dyDescent="0.25">
      <c r="BP382" t="str">
        <f t="shared" si="5"/>
        <v/>
      </c>
    </row>
    <row r="383" spans="68:68" x14ac:dyDescent="0.25">
      <c r="BP383" t="str">
        <f t="shared" si="5"/>
        <v/>
      </c>
    </row>
    <row r="384" spans="68:68" x14ac:dyDescent="0.25">
      <c r="BP384" t="str">
        <f t="shared" si="5"/>
        <v/>
      </c>
    </row>
    <row r="385" spans="68:68" x14ac:dyDescent="0.25">
      <c r="BP385" t="str">
        <f t="shared" si="5"/>
        <v/>
      </c>
    </row>
    <row r="386" spans="68:68" x14ac:dyDescent="0.25">
      <c r="BP386" t="str">
        <f t="shared" si="5"/>
        <v/>
      </c>
    </row>
    <row r="387" spans="68:68" x14ac:dyDescent="0.25">
      <c r="BP387" t="str">
        <f t="shared" si="5"/>
        <v/>
      </c>
    </row>
    <row r="388" spans="68:68" x14ac:dyDescent="0.25">
      <c r="BP388" t="str">
        <f t="shared" ref="BP388:BP445" si="6">G388&amp;BG388</f>
        <v/>
      </c>
    </row>
    <row r="389" spans="68:68" x14ac:dyDescent="0.25">
      <c r="BP389" t="str">
        <f t="shared" si="6"/>
        <v/>
      </c>
    </row>
    <row r="390" spans="68:68" x14ac:dyDescent="0.25">
      <c r="BP390" t="str">
        <f t="shared" si="6"/>
        <v/>
      </c>
    </row>
    <row r="391" spans="68:68" x14ac:dyDescent="0.25">
      <c r="BP391" t="str">
        <f t="shared" si="6"/>
        <v/>
      </c>
    </row>
    <row r="392" spans="68:68" x14ac:dyDescent="0.25">
      <c r="BP392" t="str">
        <f t="shared" si="6"/>
        <v/>
      </c>
    </row>
    <row r="393" spans="68:68" x14ac:dyDescent="0.25">
      <c r="BP393" t="str">
        <f t="shared" si="6"/>
        <v/>
      </c>
    </row>
    <row r="394" spans="68:68" x14ac:dyDescent="0.25">
      <c r="BP394" t="str">
        <f t="shared" si="6"/>
        <v/>
      </c>
    </row>
    <row r="395" spans="68:68" x14ac:dyDescent="0.25">
      <c r="BP395" t="str">
        <f t="shared" si="6"/>
        <v/>
      </c>
    </row>
    <row r="396" spans="68:68" x14ac:dyDescent="0.25">
      <c r="BP396" t="str">
        <f t="shared" si="6"/>
        <v/>
      </c>
    </row>
    <row r="397" spans="68:68" x14ac:dyDescent="0.25">
      <c r="BP397" t="str">
        <f t="shared" si="6"/>
        <v/>
      </c>
    </row>
    <row r="398" spans="68:68" x14ac:dyDescent="0.25">
      <c r="BP398" t="str">
        <f t="shared" si="6"/>
        <v/>
      </c>
    </row>
    <row r="399" spans="68:68" x14ac:dyDescent="0.25">
      <c r="BP399" t="str">
        <f t="shared" si="6"/>
        <v/>
      </c>
    </row>
    <row r="400" spans="68:68" x14ac:dyDescent="0.25">
      <c r="BP400" t="str">
        <f t="shared" si="6"/>
        <v/>
      </c>
    </row>
    <row r="401" spans="68:68" x14ac:dyDescent="0.25">
      <c r="BP401" t="str">
        <f t="shared" si="6"/>
        <v/>
      </c>
    </row>
    <row r="402" spans="68:68" x14ac:dyDescent="0.25">
      <c r="BP402" t="str">
        <f t="shared" si="6"/>
        <v/>
      </c>
    </row>
    <row r="403" spans="68:68" x14ac:dyDescent="0.25">
      <c r="BP403" t="str">
        <f t="shared" si="6"/>
        <v/>
      </c>
    </row>
    <row r="404" spans="68:68" x14ac:dyDescent="0.25">
      <c r="BP404" t="str">
        <f t="shared" si="6"/>
        <v/>
      </c>
    </row>
    <row r="405" spans="68:68" x14ac:dyDescent="0.25">
      <c r="BP405" t="str">
        <f t="shared" si="6"/>
        <v/>
      </c>
    </row>
    <row r="406" spans="68:68" x14ac:dyDescent="0.25">
      <c r="BP406" t="str">
        <f t="shared" si="6"/>
        <v/>
      </c>
    </row>
    <row r="407" spans="68:68" x14ac:dyDescent="0.25">
      <c r="BP407" t="str">
        <f t="shared" si="6"/>
        <v/>
      </c>
    </row>
    <row r="408" spans="68:68" x14ac:dyDescent="0.25">
      <c r="BP408" t="str">
        <f t="shared" si="6"/>
        <v/>
      </c>
    </row>
    <row r="409" spans="68:68" x14ac:dyDescent="0.25">
      <c r="BP409" t="str">
        <f t="shared" si="6"/>
        <v/>
      </c>
    </row>
    <row r="410" spans="68:68" x14ac:dyDescent="0.25">
      <c r="BP410" t="str">
        <f t="shared" si="6"/>
        <v/>
      </c>
    </row>
    <row r="411" spans="68:68" x14ac:dyDescent="0.25">
      <c r="BP411" t="str">
        <f t="shared" si="6"/>
        <v/>
      </c>
    </row>
    <row r="412" spans="68:68" x14ac:dyDescent="0.25">
      <c r="BP412" t="str">
        <f t="shared" si="6"/>
        <v/>
      </c>
    </row>
    <row r="413" spans="68:68" x14ac:dyDescent="0.25">
      <c r="BP413" t="str">
        <f t="shared" si="6"/>
        <v/>
      </c>
    </row>
    <row r="414" spans="68:68" x14ac:dyDescent="0.25">
      <c r="BP414" t="str">
        <f t="shared" si="6"/>
        <v/>
      </c>
    </row>
    <row r="415" spans="68:68" x14ac:dyDescent="0.25">
      <c r="BP415" t="str">
        <f t="shared" si="6"/>
        <v/>
      </c>
    </row>
    <row r="416" spans="68:68" x14ac:dyDescent="0.25">
      <c r="BP416" t="str">
        <f t="shared" si="6"/>
        <v/>
      </c>
    </row>
    <row r="417" spans="68:68" x14ac:dyDescent="0.25">
      <c r="BP417" t="str">
        <f t="shared" si="6"/>
        <v/>
      </c>
    </row>
    <row r="418" spans="68:68" x14ac:dyDescent="0.25">
      <c r="BP418" t="str">
        <f t="shared" si="6"/>
        <v/>
      </c>
    </row>
    <row r="419" spans="68:68" x14ac:dyDescent="0.25">
      <c r="BP419" t="str">
        <f t="shared" si="6"/>
        <v/>
      </c>
    </row>
    <row r="420" spans="68:68" x14ac:dyDescent="0.25">
      <c r="BP420" t="str">
        <f t="shared" si="6"/>
        <v/>
      </c>
    </row>
    <row r="421" spans="68:68" x14ac:dyDescent="0.25">
      <c r="BP421" t="str">
        <f t="shared" si="6"/>
        <v/>
      </c>
    </row>
    <row r="422" spans="68:68" x14ac:dyDescent="0.25">
      <c r="BP422" t="str">
        <f t="shared" si="6"/>
        <v/>
      </c>
    </row>
    <row r="423" spans="68:68" x14ac:dyDescent="0.25">
      <c r="BP423" t="str">
        <f t="shared" si="6"/>
        <v/>
      </c>
    </row>
    <row r="424" spans="68:68" x14ac:dyDescent="0.25">
      <c r="BP424" t="str">
        <f t="shared" si="6"/>
        <v/>
      </c>
    </row>
    <row r="425" spans="68:68" x14ac:dyDescent="0.25">
      <c r="BP425" t="str">
        <f t="shared" si="6"/>
        <v/>
      </c>
    </row>
    <row r="426" spans="68:68" x14ac:dyDescent="0.25">
      <c r="BP426" t="str">
        <f t="shared" si="6"/>
        <v/>
      </c>
    </row>
    <row r="427" spans="68:68" x14ac:dyDescent="0.25">
      <c r="BP427" t="str">
        <f t="shared" si="6"/>
        <v/>
      </c>
    </row>
    <row r="428" spans="68:68" x14ac:dyDescent="0.25">
      <c r="BP428" t="str">
        <f t="shared" si="6"/>
        <v/>
      </c>
    </row>
    <row r="429" spans="68:68" x14ac:dyDescent="0.25">
      <c r="BP429" t="str">
        <f t="shared" si="6"/>
        <v/>
      </c>
    </row>
    <row r="430" spans="68:68" x14ac:dyDescent="0.25">
      <c r="BP430" t="str">
        <f t="shared" si="6"/>
        <v/>
      </c>
    </row>
    <row r="431" spans="68:68" x14ac:dyDescent="0.25">
      <c r="BP431" t="str">
        <f t="shared" si="6"/>
        <v/>
      </c>
    </row>
    <row r="432" spans="68:68" x14ac:dyDescent="0.25">
      <c r="BP432" t="str">
        <f t="shared" si="6"/>
        <v/>
      </c>
    </row>
    <row r="433" spans="68:68" x14ac:dyDescent="0.25">
      <c r="BP433" t="str">
        <f t="shared" si="6"/>
        <v/>
      </c>
    </row>
    <row r="434" spans="68:68" x14ac:dyDescent="0.25">
      <c r="BP434" t="str">
        <f t="shared" si="6"/>
        <v/>
      </c>
    </row>
    <row r="435" spans="68:68" x14ac:dyDescent="0.25">
      <c r="BP435" t="str">
        <f t="shared" si="6"/>
        <v/>
      </c>
    </row>
    <row r="436" spans="68:68" x14ac:dyDescent="0.25">
      <c r="BP436" t="str">
        <f t="shared" si="6"/>
        <v/>
      </c>
    </row>
    <row r="437" spans="68:68" x14ac:dyDescent="0.25">
      <c r="BP437" t="str">
        <f t="shared" si="6"/>
        <v/>
      </c>
    </row>
    <row r="438" spans="68:68" x14ac:dyDescent="0.25">
      <c r="BP438" t="str">
        <f t="shared" si="6"/>
        <v/>
      </c>
    </row>
    <row r="439" spans="68:68" x14ac:dyDescent="0.25">
      <c r="BP439" t="str">
        <f t="shared" si="6"/>
        <v/>
      </c>
    </row>
    <row r="440" spans="68:68" x14ac:dyDescent="0.25">
      <c r="BP440" t="str">
        <f t="shared" si="6"/>
        <v/>
      </c>
    </row>
    <row r="441" spans="68:68" x14ac:dyDescent="0.25">
      <c r="BP441" t="str">
        <f t="shared" si="6"/>
        <v/>
      </c>
    </row>
    <row r="442" spans="68:68" x14ac:dyDescent="0.25">
      <c r="BP442" t="str">
        <f t="shared" si="6"/>
        <v/>
      </c>
    </row>
    <row r="443" spans="68:68" x14ac:dyDescent="0.25">
      <c r="BP443" t="str">
        <f t="shared" si="6"/>
        <v/>
      </c>
    </row>
    <row r="444" spans="68:68" x14ac:dyDescent="0.25">
      <c r="BP444" t="str">
        <f t="shared" si="6"/>
        <v/>
      </c>
    </row>
    <row r="445" spans="68:68" x14ac:dyDescent="0.25">
      <c r="BP445" t="str">
        <f t="shared" si="6"/>
        <v/>
      </c>
    </row>
  </sheetData>
  <autoFilter ref="A3:BP334" xr:uid="{00000000-0009-0000-0000-000007000000}"/>
  <pageMargins left="0.7" right="0.7" top="0.75" bottom="0.75" header="0.3" footer="0.3"/>
  <ignoredErrors>
    <ignoredError sqref="A328:BP518 BP1:BP327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tabSelected="1" workbookViewId="0">
      <selection activeCell="B1" sqref="B1:T42"/>
    </sheetView>
  </sheetViews>
  <sheetFormatPr defaultRowHeight="15.75" x14ac:dyDescent="0.25"/>
  <sheetData>
    <row r="2" spans="2:19" x14ac:dyDescent="0.25">
      <c r="B2" t="s">
        <v>1634</v>
      </c>
      <c r="C2" t="s">
        <v>1614</v>
      </c>
      <c r="Q2" t="s">
        <v>244</v>
      </c>
      <c r="R2" t="s">
        <v>306</v>
      </c>
    </row>
    <row r="3" spans="2:19" x14ac:dyDescent="0.25">
      <c r="C3" t="s">
        <v>1615</v>
      </c>
      <c r="F3" t="s">
        <v>1616</v>
      </c>
      <c r="I3" t="s">
        <v>1617</v>
      </c>
      <c r="L3" t="s">
        <v>1618</v>
      </c>
      <c r="M3" t="s">
        <v>1619</v>
      </c>
      <c r="N3" t="s">
        <v>1620</v>
      </c>
      <c r="Q3" t="s">
        <v>292</v>
      </c>
      <c r="R3" t="s">
        <v>1621</v>
      </c>
    </row>
    <row r="4" spans="2:19" x14ac:dyDescent="0.25">
      <c r="B4" t="s">
        <v>1622</v>
      </c>
      <c r="C4" t="s">
        <v>1623</v>
      </c>
      <c r="D4" t="s">
        <v>1624</v>
      </c>
      <c r="E4" t="s">
        <v>1625</v>
      </c>
      <c r="F4" t="s">
        <v>1623</v>
      </c>
      <c r="G4" t="s">
        <v>1624</v>
      </c>
      <c r="H4" t="s">
        <v>1625</v>
      </c>
      <c r="I4" t="s">
        <v>1623</v>
      </c>
      <c r="J4" t="s">
        <v>1624</v>
      </c>
      <c r="K4" t="s">
        <v>1625</v>
      </c>
    </row>
    <row r="5" spans="2:19" x14ac:dyDescent="0.25">
      <c r="B5" t="s">
        <v>1626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1625</v>
      </c>
      <c r="R5" t="s">
        <v>1614</v>
      </c>
    </row>
    <row r="6" spans="2:19" x14ac:dyDescent="0.25">
      <c r="B6" t="s">
        <v>1627</v>
      </c>
      <c r="C6">
        <v>3</v>
      </c>
      <c r="D6">
        <v>38065</v>
      </c>
      <c r="E6">
        <v>11419.500000000002</v>
      </c>
      <c r="F6">
        <v>5228</v>
      </c>
      <c r="G6">
        <v>11118732.200000022</v>
      </c>
      <c r="H6">
        <v>43613.1</v>
      </c>
      <c r="I6">
        <v>11</v>
      </c>
      <c r="J6">
        <v>78217</v>
      </c>
      <c r="K6">
        <v>78217</v>
      </c>
      <c r="L6">
        <v>5242</v>
      </c>
      <c r="M6">
        <v>11235014.200000022</v>
      </c>
      <c r="N6">
        <v>133249.60000000001</v>
      </c>
      <c r="Q6" t="s">
        <v>1622</v>
      </c>
      <c r="R6" t="s">
        <v>313</v>
      </c>
      <c r="S6" t="s">
        <v>1628</v>
      </c>
    </row>
    <row r="7" spans="2:19" x14ac:dyDescent="0.25">
      <c r="B7" t="s">
        <v>1629</v>
      </c>
      <c r="F7">
        <v>5178</v>
      </c>
      <c r="G7">
        <v>14508272.970000001</v>
      </c>
      <c r="H7">
        <v>12891.900000000001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73291.899999999994</v>
      </c>
      <c r="Q7" t="s">
        <v>1630</v>
      </c>
      <c r="R7">
        <v>820474</v>
      </c>
      <c r="S7">
        <v>820474</v>
      </c>
    </row>
    <row r="8" spans="2:19" x14ac:dyDescent="0.25">
      <c r="B8" t="s">
        <v>1631</v>
      </c>
      <c r="C8">
        <v>10</v>
      </c>
      <c r="D8">
        <v>31786</v>
      </c>
      <c r="E8">
        <v>9535.8000000000011</v>
      </c>
      <c r="F8">
        <v>3004</v>
      </c>
      <c r="G8">
        <v>8392750.2000000048</v>
      </c>
      <c r="H8">
        <v>43148.100000000013</v>
      </c>
      <c r="I8">
        <v>2</v>
      </c>
      <c r="J8">
        <v>24488</v>
      </c>
      <c r="K8">
        <v>24488</v>
      </c>
      <c r="L8">
        <v>3016</v>
      </c>
      <c r="M8">
        <v>8449024.2000000086</v>
      </c>
      <c r="N8">
        <v>77171.900000000023</v>
      </c>
      <c r="Q8" t="s">
        <v>1632</v>
      </c>
      <c r="R8">
        <v>820474</v>
      </c>
      <c r="S8">
        <v>820474</v>
      </c>
    </row>
    <row r="9" spans="2:19" x14ac:dyDescent="0.25">
      <c r="B9" t="s">
        <v>1632</v>
      </c>
      <c r="C9">
        <v>220</v>
      </c>
      <c r="D9">
        <v>676569</v>
      </c>
      <c r="E9">
        <v>203100.74000000019</v>
      </c>
      <c r="F9">
        <v>1561</v>
      </c>
      <c r="G9">
        <v>3601009.4000000004</v>
      </c>
      <c r="H9">
        <v>107470.92000000029</v>
      </c>
      <c r="I9">
        <v>326</v>
      </c>
      <c r="J9">
        <v>935261</v>
      </c>
      <c r="K9">
        <v>935261</v>
      </c>
      <c r="L9">
        <v>2107</v>
      </c>
      <c r="M9">
        <v>5212839.4000000004</v>
      </c>
      <c r="N9">
        <v>1245832.6599999988</v>
      </c>
      <c r="Q9" t="s">
        <v>1633</v>
      </c>
      <c r="R9">
        <v>324780.72000000015</v>
      </c>
      <c r="S9">
        <v>324780.72000000015</v>
      </c>
    </row>
    <row r="10" spans="2:19" x14ac:dyDescent="0.25">
      <c r="B10" t="s">
        <v>1628</v>
      </c>
      <c r="C10">
        <v>233</v>
      </c>
      <c r="D10">
        <v>746420</v>
      </c>
      <c r="E10">
        <v>224056.04000000015</v>
      </c>
      <c r="F10">
        <v>18559</v>
      </c>
      <c r="G10">
        <v>45628813.670000233</v>
      </c>
      <c r="H10">
        <v>207124.02000000014</v>
      </c>
      <c r="I10">
        <v>351</v>
      </c>
      <c r="J10">
        <v>1098366</v>
      </c>
      <c r="K10">
        <v>1098366</v>
      </c>
      <c r="L10">
        <v>19143</v>
      </c>
      <c r="M10">
        <v>47473599.670000032</v>
      </c>
      <c r="N10">
        <v>1529546.0599999987</v>
      </c>
      <c r="Q10" t="s">
        <v>1627</v>
      </c>
      <c r="R10">
        <v>87202.9</v>
      </c>
      <c r="S10">
        <v>87202.9</v>
      </c>
    </row>
    <row r="11" spans="2:19" x14ac:dyDescent="0.25">
      <c r="Q11" t="s">
        <v>1629</v>
      </c>
      <c r="R11">
        <v>62257</v>
      </c>
      <c r="S11">
        <v>62257</v>
      </c>
    </row>
    <row r="12" spans="2:19" x14ac:dyDescent="0.25">
      <c r="B12" t="s">
        <v>1657</v>
      </c>
      <c r="C12" t="s">
        <v>1614</v>
      </c>
      <c r="Q12" t="s">
        <v>1631</v>
      </c>
      <c r="R12">
        <v>67636.10000000002</v>
      </c>
      <c r="S12">
        <v>67636.10000000002</v>
      </c>
    </row>
    <row r="13" spans="2:19" x14ac:dyDescent="0.25">
      <c r="C13" t="s">
        <v>1615</v>
      </c>
      <c r="F13" t="s">
        <v>1616</v>
      </c>
      <c r="I13" t="s">
        <v>1617</v>
      </c>
      <c r="L13" t="s">
        <v>1618</v>
      </c>
      <c r="M13" t="s">
        <v>1619</v>
      </c>
      <c r="N13" t="s">
        <v>1620</v>
      </c>
      <c r="Q13" t="s">
        <v>1632</v>
      </c>
      <c r="R13">
        <v>107684.72000000013</v>
      </c>
      <c r="S13">
        <v>107684.72000000013</v>
      </c>
    </row>
    <row r="14" spans="2:19" x14ac:dyDescent="0.25">
      <c r="B14" t="s">
        <v>1622</v>
      </c>
      <c r="C14" t="s">
        <v>1623</v>
      </c>
      <c r="D14" t="s">
        <v>1624</v>
      </c>
      <c r="E14" t="s">
        <v>1625</v>
      </c>
      <c r="F14" t="s">
        <v>1623</v>
      </c>
      <c r="G14" t="s">
        <v>1624</v>
      </c>
      <c r="H14" t="s">
        <v>1625</v>
      </c>
      <c r="I14" t="s">
        <v>1623</v>
      </c>
      <c r="J14" t="s">
        <v>1624</v>
      </c>
      <c r="K14" t="s">
        <v>1625</v>
      </c>
      <c r="Q14" t="s">
        <v>1635</v>
      </c>
      <c r="R14">
        <v>29088</v>
      </c>
      <c r="S14">
        <v>29088</v>
      </c>
    </row>
    <row r="15" spans="2:19" x14ac:dyDescent="0.25">
      <c r="B15" t="s">
        <v>1626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1631</v>
      </c>
      <c r="R15">
        <v>29088</v>
      </c>
      <c r="S15">
        <v>29088</v>
      </c>
    </row>
    <row r="16" spans="2:19" x14ac:dyDescent="0.25">
      <c r="B16" t="s">
        <v>1627</v>
      </c>
      <c r="C16">
        <v>9</v>
      </c>
      <c r="D16">
        <v>118924</v>
      </c>
      <c r="E16">
        <v>25739.039999999997</v>
      </c>
      <c r="F16">
        <v>5220</v>
      </c>
      <c r="G16">
        <v>11003308.200000022</v>
      </c>
      <c r="H16">
        <v>8985.9</v>
      </c>
      <c r="I16">
        <v>13</v>
      </c>
      <c r="J16">
        <v>112782</v>
      </c>
      <c r="K16">
        <v>112782</v>
      </c>
      <c r="L16">
        <v>5242</v>
      </c>
      <c r="M16">
        <v>11235014.200000022</v>
      </c>
      <c r="N16">
        <v>147506.94</v>
      </c>
      <c r="Q16" t="s">
        <v>1632</v>
      </c>
      <c r="R16">
        <v>0</v>
      </c>
      <c r="S16">
        <v>0</v>
      </c>
    </row>
    <row r="17" spans="2:19" x14ac:dyDescent="0.25">
      <c r="B17" t="s">
        <v>1629</v>
      </c>
      <c r="C17">
        <v>8</v>
      </c>
      <c r="D17">
        <v>36783</v>
      </c>
      <c r="E17">
        <v>7724.4299999999994</v>
      </c>
      <c r="F17">
        <v>5170</v>
      </c>
      <c r="G17">
        <v>14471489.970000001</v>
      </c>
      <c r="H17">
        <v>1857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69981.429999999993</v>
      </c>
      <c r="Q17" t="s">
        <v>1636</v>
      </c>
      <c r="R17">
        <v>110759.40000000004</v>
      </c>
      <c r="S17">
        <v>110759.40000000004</v>
      </c>
    </row>
    <row r="18" spans="2:19" x14ac:dyDescent="0.25">
      <c r="B18" t="s">
        <v>1631</v>
      </c>
      <c r="C18">
        <v>3</v>
      </c>
      <c r="D18">
        <v>69000</v>
      </c>
      <c r="E18">
        <v>27600</v>
      </c>
      <c r="F18">
        <v>2999</v>
      </c>
      <c r="G18">
        <v>8320147.2000000048</v>
      </c>
      <c r="H18">
        <v>43148.100000000013</v>
      </c>
      <c r="I18">
        <v>13</v>
      </c>
      <c r="J18">
        <v>57762</v>
      </c>
      <c r="K18">
        <v>57762</v>
      </c>
      <c r="L18">
        <v>3015</v>
      </c>
      <c r="M18">
        <v>8446909.2000000048</v>
      </c>
      <c r="N18">
        <v>128510.10000000003</v>
      </c>
      <c r="Q18" t="s">
        <v>1632</v>
      </c>
      <c r="R18">
        <v>110759.40000000004</v>
      </c>
      <c r="S18">
        <v>110759.40000000004</v>
      </c>
    </row>
    <row r="19" spans="2:19" x14ac:dyDescent="0.25">
      <c r="B19" t="s">
        <v>1632</v>
      </c>
      <c r="C19">
        <v>154</v>
      </c>
      <c r="D19">
        <v>472544</v>
      </c>
      <c r="E19">
        <v>142200.50000000012</v>
      </c>
      <c r="F19">
        <v>1706</v>
      </c>
      <c r="G19">
        <v>4017920.4000000004</v>
      </c>
      <c r="H19">
        <v>106536.12000000029</v>
      </c>
      <c r="I19">
        <v>260</v>
      </c>
      <c r="J19">
        <v>768097</v>
      </c>
      <c r="K19">
        <v>768097</v>
      </c>
      <c r="L19">
        <v>2120</v>
      </c>
      <c r="M19">
        <v>5258561.4000000004</v>
      </c>
      <c r="N19">
        <v>1016833.6200000002</v>
      </c>
      <c r="Q19" t="s">
        <v>1637</v>
      </c>
      <c r="R19">
        <v>182483.00000000003</v>
      </c>
      <c r="S19">
        <v>182483.00000000003</v>
      </c>
    </row>
    <row r="20" spans="2:19" x14ac:dyDescent="0.25">
      <c r="B20" t="s">
        <v>1628</v>
      </c>
      <c r="C20">
        <v>174</v>
      </c>
      <c r="D20">
        <v>697251</v>
      </c>
      <c r="E20">
        <v>203263.97000000012</v>
      </c>
      <c r="F20">
        <v>18683</v>
      </c>
      <c r="G20">
        <v>45820914.670000233</v>
      </c>
      <c r="H20">
        <v>160527.12000000026</v>
      </c>
      <c r="I20">
        <v>298</v>
      </c>
      <c r="J20">
        <v>999041</v>
      </c>
      <c r="K20">
        <v>999041</v>
      </c>
      <c r="L20">
        <v>19155</v>
      </c>
      <c r="M20">
        <v>47517206.670000024</v>
      </c>
      <c r="N20">
        <v>1362832.0900000003</v>
      </c>
      <c r="Q20" t="s">
        <v>1632</v>
      </c>
      <c r="R20">
        <v>182483.00000000003</v>
      </c>
      <c r="S20">
        <v>182483.00000000003</v>
      </c>
    </row>
    <row r="21" spans="2:19" x14ac:dyDescent="0.25">
      <c r="Q21" t="s">
        <v>1628</v>
      </c>
      <c r="R21">
        <v>1467585.1200000003</v>
      </c>
      <c r="S21">
        <v>1467585.1200000003</v>
      </c>
    </row>
    <row r="27" spans="2:19" x14ac:dyDescent="0.25">
      <c r="P27" t="s">
        <v>1638</v>
      </c>
      <c r="Q27">
        <v>2023</v>
      </c>
    </row>
    <row r="28" spans="2:19" x14ac:dyDescent="0.25">
      <c r="P28" t="s">
        <v>1638</v>
      </c>
      <c r="Q28">
        <v>2024</v>
      </c>
    </row>
    <row r="29" spans="2:19" x14ac:dyDescent="0.25">
      <c r="P29" t="s">
        <v>1638</v>
      </c>
      <c r="Q29">
        <v>2025</v>
      </c>
    </row>
    <row r="30" spans="2:19" x14ac:dyDescent="0.25">
      <c r="P30" t="s">
        <v>1638</v>
      </c>
      <c r="Q30">
        <v>2026</v>
      </c>
      <c r="R30">
        <v>182483.00000000003</v>
      </c>
    </row>
    <row r="32" spans="2:19" x14ac:dyDescent="0.25">
      <c r="P32" t="s">
        <v>1639</v>
      </c>
      <c r="Q32">
        <v>2023</v>
      </c>
    </row>
    <row r="33" spans="16:18" x14ac:dyDescent="0.25">
      <c r="P33" t="s">
        <v>1639</v>
      </c>
      <c r="Q33">
        <v>2024</v>
      </c>
    </row>
    <row r="34" spans="16:18" x14ac:dyDescent="0.25">
      <c r="P34" t="s">
        <v>1639</v>
      </c>
      <c r="Q34">
        <v>2025</v>
      </c>
      <c r="R34">
        <v>29088</v>
      </c>
    </row>
    <row r="35" spans="16:18" x14ac:dyDescent="0.25">
      <c r="P35" t="s">
        <v>1639</v>
      </c>
      <c r="Q35">
        <v>2026</v>
      </c>
      <c r="R35">
        <v>110759.40000000004</v>
      </c>
    </row>
  </sheetData>
  <pageMargins left="0.7" right="0.7" top="0.75" bottom="0.75" header="0.3" footer="0.3"/>
  <ignoredErrors>
    <ignoredError sqref="B3:S11 B21:S35 O12:S20 C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7 - SLA On-Process AIS</vt:lpstr>
      <vt:lpstr>Part 7 - SLA On-Process TRUE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boonchot boriwut</dc:creator>
  <cp:lastModifiedBy>boonchot boriwut</cp:lastModifiedBy>
  <dcterms:created xsi:type="dcterms:W3CDTF">2026-07-24T11:30:05Z</dcterms:created>
  <dcterms:modified xsi:type="dcterms:W3CDTF">2026-09-07T14:18:22Z</dcterms:modified>
</cp:coreProperties>
</file>